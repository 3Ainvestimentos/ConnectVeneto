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.daldegan\Downloads\"/>
    </mc:Choice>
  </mc:AlternateContent>
  <xr:revisionPtr revIDLastSave="0" documentId="13_ncr:1_{DA7C2466-96D9-42ED-B152-1E93C434C6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laboradores" sheetId="1" r:id="rId1"/>
  </sheets>
  <definedNames>
    <definedName name="_xlnm._FilterDatabase" localSheetId="0" hidden="1">Colaboradores!$A$1:$G$1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1" l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<sst xmlns="http://schemas.openxmlformats.org/spreadsheetml/2006/main" count="492" uniqueCount="207">
  <si>
    <t>ID</t>
  </si>
  <si>
    <t>NOME USUAL</t>
  </si>
  <si>
    <t>ÁREA</t>
  </si>
  <si>
    <t>LIDERANÇA</t>
  </si>
  <si>
    <t>Acácio Ferreira</t>
  </si>
  <si>
    <t>acacio.ferreira@venetomfo.com.br</t>
  </si>
  <si>
    <t>Relationship Officer</t>
  </si>
  <si>
    <t>Comercial</t>
  </si>
  <si>
    <t>NÃO</t>
  </si>
  <si>
    <t>Alexandre Dal Mas</t>
  </si>
  <si>
    <t>alexandre.dalmas@venetomfo.com.br</t>
  </si>
  <si>
    <t>Relationship Officer e Advisor Imobiliário</t>
  </si>
  <si>
    <t>Alice Passos</t>
  </si>
  <si>
    <t>alice.passos@venetomfo.com.br</t>
  </si>
  <si>
    <t>Analista de Wealth Planning</t>
  </si>
  <si>
    <t>Gestão de Patrimônio</t>
  </si>
  <si>
    <t>Aline Boy</t>
  </si>
  <si>
    <t>aline.boy@venetomfo.com.br</t>
  </si>
  <si>
    <t>Estagiária de Inteligência Comercial</t>
  </si>
  <si>
    <t>Inteligência Comercial</t>
  </si>
  <si>
    <t>Ana Ramos</t>
  </si>
  <si>
    <t>ana.ramos@venetomfo.com.br</t>
  </si>
  <si>
    <t>Estagiária Backoffice e Risco</t>
  </si>
  <si>
    <t>Backoffice e Risco/Controladoria</t>
  </si>
  <si>
    <t>ACD5</t>
  </si>
  <si>
    <t>Ana Daldegan</t>
  </si>
  <si>
    <t>ana.daldegan@venetomfo.com.br</t>
  </si>
  <si>
    <t>Head de Controles Internos e Governança Corporativa</t>
  </si>
  <si>
    <t>Risco e Compliance</t>
  </si>
  <si>
    <t>SIM</t>
  </si>
  <si>
    <t>Ana Bacha</t>
  </si>
  <si>
    <t>ana.bacha@venetomfo.com.br</t>
  </si>
  <si>
    <t>Estagiária Comercial</t>
  </si>
  <si>
    <t>André Tarastchuk</t>
  </si>
  <si>
    <t>andre.tarastchuk@venetomfo.com.br</t>
  </si>
  <si>
    <t>Estagiário de Inteligência Comercial</t>
  </si>
  <si>
    <t>Bernardo Ottoni</t>
  </si>
  <si>
    <t>bernardo@venetomfo.com.br</t>
  </si>
  <si>
    <t>Breno Fernandes</t>
  </si>
  <si>
    <t>breno.fernandes@venetomfo.com.br</t>
  </si>
  <si>
    <t>Breno Campos</t>
  </si>
  <si>
    <t>breno.campos@venetomfo.com.br</t>
  </si>
  <si>
    <t>Bruna Martinuzzo</t>
  </si>
  <si>
    <t>bruna.martinuzzo@venetomfo.com.br</t>
  </si>
  <si>
    <t>Estagiário de RH</t>
  </si>
  <si>
    <t>Recursos Humanos</t>
  </si>
  <si>
    <t>Camila Shimizu</t>
  </si>
  <si>
    <t>camila.shimizu@venetomfo.com.br</t>
  </si>
  <si>
    <t>Camila Martins</t>
  </si>
  <si>
    <t>camila.martins@venetomfo.com.br</t>
  </si>
  <si>
    <t>Caco Santos</t>
  </si>
  <si>
    <t>caco.santos@venetomfo.com.br</t>
  </si>
  <si>
    <t>Carlos Pessoa</t>
  </si>
  <si>
    <t>carlos@venetomfo.com.br</t>
  </si>
  <si>
    <t>CEO e CIO</t>
  </si>
  <si>
    <t>Diretoria</t>
  </si>
  <si>
    <t>Carolina Auler</t>
  </si>
  <si>
    <t>carolina.auler@venetomfo.com.br</t>
  </si>
  <si>
    <t>Estagiária de Cadastro</t>
  </si>
  <si>
    <t>Cadastro</t>
  </si>
  <si>
    <t>Claudia Nogueira</t>
  </si>
  <si>
    <t>claudia.nogueira@venetomfo.com.br</t>
  </si>
  <si>
    <t>Daniela Ferrari</t>
  </si>
  <si>
    <t>daniela.ferrari@venetomfo.com.br</t>
  </si>
  <si>
    <t>Estagiária de Legal Advisory</t>
  </si>
  <si>
    <t>Daniela Soares</t>
  </si>
  <si>
    <t>daniela.soares@venetomfo.com.br</t>
  </si>
  <si>
    <t>Secretária Executiva</t>
  </si>
  <si>
    <t>CX</t>
  </si>
  <si>
    <t>Darlon Dutra</t>
  </si>
  <si>
    <t>darlon.dutra@venetomfo.com.br</t>
  </si>
  <si>
    <t>Eduardo Oliveira</t>
  </si>
  <si>
    <t>eduardo@venetomfo.com.br</t>
  </si>
  <si>
    <t>Head do Escritório de SP</t>
  </si>
  <si>
    <t>Érica Villaça</t>
  </si>
  <si>
    <t>erica.villaca@venetomfo.com.br</t>
  </si>
  <si>
    <t>Analista de Expansão</t>
  </si>
  <si>
    <t>Expansão</t>
  </si>
  <si>
    <t>Estevão Cunha</t>
  </si>
  <si>
    <t>estevao.cunha@venetomfo.com.br</t>
  </si>
  <si>
    <t>Estagiário Mesa de Operações</t>
  </si>
  <si>
    <t>Mesa de operações</t>
  </si>
  <si>
    <t>Felipe Milano</t>
  </si>
  <si>
    <t>felipe.milano@venetomfo.com.br</t>
  </si>
  <si>
    <t>Felipe Leal</t>
  </si>
  <si>
    <t>felipe.leal@venetomfo.com.br</t>
  </si>
  <si>
    <t>Analista de Investimentos</t>
  </si>
  <si>
    <t>Análise</t>
  </si>
  <si>
    <t>Fernando Damasceno</t>
  </si>
  <si>
    <t>fernando@venetomfo.com.br</t>
  </si>
  <si>
    <t>COO</t>
  </si>
  <si>
    <t>Gabriel Cruz</t>
  </si>
  <si>
    <t>gabriel.cruz@venetomfo.com.br</t>
  </si>
  <si>
    <t>Analista de Backoffice</t>
  </si>
  <si>
    <t>Gabriel Portela</t>
  </si>
  <si>
    <t>gabriel.portela@venetomfo.com.br</t>
  </si>
  <si>
    <t>Assistente Comercial</t>
  </si>
  <si>
    <t>Gabriel Miranda</t>
  </si>
  <si>
    <t>gabriel.miranda@venetomfo.com.br</t>
  </si>
  <si>
    <t>Glaucia Bambirra</t>
  </si>
  <si>
    <t>glaucia.bambirra@venetomfo.com.br</t>
  </si>
  <si>
    <t>Gustavo Oliveira</t>
  </si>
  <si>
    <t>gustavo.oliveira@venetomfo.com.br</t>
  </si>
  <si>
    <t>Gustavo Zwetkoff</t>
  </si>
  <si>
    <t>gustavo.z@venetomfo.com.br</t>
  </si>
  <si>
    <t>Trader</t>
  </si>
  <si>
    <t>Heitor Macedo</t>
  </si>
  <si>
    <t>heitor.macedo@venetomfo.com.br</t>
  </si>
  <si>
    <t>Henrique Galvão</t>
  </si>
  <si>
    <t>henrique.galvao@venetomfo.com.br</t>
  </si>
  <si>
    <t>Head de Gestão de Patrimônio</t>
  </si>
  <si>
    <t>Igor Magalhães</t>
  </si>
  <si>
    <t>igor.magalhaes@venetomfo.com.br</t>
  </si>
  <si>
    <t>João Meirelles</t>
  </si>
  <si>
    <t>joão.meirelles@venetomfo.com.br</t>
  </si>
  <si>
    <t>Julia Guimarães</t>
  </si>
  <si>
    <t>julia.guimaraes@venetomfo.com.br</t>
  </si>
  <si>
    <t>Hunter</t>
  </si>
  <si>
    <t>Keven Mendes</t>
  </si>
  <si>
    <t>keven.mendes@venetomfo.com.br</t>
  </si>
  <si>
    <t>Head de Offshore</t>
  </si>
  <si>
    <t>Leticya Martins</t>
  </si>
  <si>
    <t>cadastro@venetomfo.com.br</t>
  </si>
  <si>
    <t>Analista de Operações Cadastrais</t>
  </si>
  <si>
    <t>Lucas Freitas</t>
  </si>
  <si>
    <t>lucas.freitas@venetomfo.com.br</t>
  </si>
  <si>
    <t>Lucas Costa</t>
  </si>
  <si>
    <t>lucas.costa@venetomfo.com.br</t>
  </si>
  <si>
    <t>Lucas Bousas</t>
  </si>
  <si>
    <t>lucas.bousas@venetomfo.com.br</t>
  </si>
  <si>
    <t>Lucas Pereira</t>
  </si>
  <si>
    <t>lucas.pereira@venetomfo.com.br</t>
  </si>
  <si>
    <t>Assistente de Backoffice</t>
  </si>
  <si>
    <t>Lucia Penteado</t>
  </si>
  <si>
    <t>lucia.penteado@venetomfo.com.br</t>
  </si>
  <si>
    <t>Luis Gariglio</t>
  </si>
  <si>
    <t>luis.gariglio@venetomfo.com.br</t>
  </si>
  <si>
    <t>Marco Jota</t>
  </si>
  <si>
    <t>marco.jota@venetomfo.com.br</t>
  </si>
  <si>
    <t>Maria Durães</t>
  </si>
  <si>
    <t>maria.duraes@venetomfo.com.br</t>
  </si>
  <si>
    <t>Assistente Administrativo</t>
  </si>
  <si>
    <t>Fatima Bicalho</t>
  </si>
  <si>
    <t>fatima.bicalho@venetomfo.com.br</t>
  </si>
  <si>
    <t>Maria Naves</t>
  </si>
  <si>
    <t>maria.naves@venetomfo.com.br</t>
  </si>
  <si>
    <t>Analista de Novos Negócios</t>
  </si>
  <si>
    <t>Novos negócios</t>
  </si>
  <si>
    <t>Matheus Sales</t>
  </si>
  <si>
    <t>matheus.sales@venetomfo.com.br</t>
  </si>
  <si>
    <t>Matheus Triginelli</t>
  </si>
  <si>
    <t>matheus.triginelli@venetomfo.com.br</t>
  </si>
  <si>
    <t>Patrick Corrêa</t>
  </si>
  <si>
    <t>patrick.correa@venetomfo.com.br</t>
  </si>
  <si>
    <t>Auxiliar de Marketing</t>
  </si>
  <si>
    <t>Marketing</t>
  </si>
  <si>
    <t>Paulo Ribeiro</t>
  </si>
  <si>
    <t>paulo.ribeiro@venetomfo.com.br</t>
  </si>
  <si>
    <t>Head Comercial BH</t>
  </si>
  <si>
    <t>Pedro Ribeiro</t>
  </si>
  <si>
    <t>pedro.ribeiro@venetomfo.com.br</t>
  </si>
  <si>
    <t>Pedro Cunha</t>
  </si>
  <si>
    <t>pedro.cunha@venetomfo.com.br</t>
  </si>
  <si>
    <t>Raphael Tarandach</t>
  </si>
  <si>
    <t>raphael.tarandach@3ainvestimentos.com.br</t>
  </si>
  <si>
    <t>Estagiário de Análise</t>
  </si>
  <si>
    <t>Renato Gomide</t>
  </si>
  <si>
    <t>renato@venetomfo.com.br</t>
  </si>
  <si>
    <t>Roberto Moreira</t>
  </si>
  <si>
    <t>roberto.moreira@venetomfo.com.br</t>
  </si>
  <si>
    <t>Auxiliar de IC</t>
  </si>
  <si>
    <t>Rodrigo Donnard</t>
  </si>
  <si>
    <t>rodrigo@venetomfo.com.br</t>
  </si>
  <si>
    <t>CO-CIO</t>
  </si>
  <si>
    <t>Tairine Bolina</t>
  </si>
  <si>
    <t>tairine.bolina@venetomfo.com.br</t>
  </si>
  <si>
    <t>Head de Inteligência Comercial e Backoffice</t>
  </si>
  <si>
    <t>Thiago Samu</t>
  </si>
  <si>
    <t>thiago.samu@venetomfo.com.br</t>
  </si>
  <si>
    <t>Tide Ferrão</t>
  </si>
  <si>
    <t>tide@venetomfo.com.br</t>
  </si>
  <si>
    <t>Head do Canal MFO</t>
  </si>
  <si>
    <t>Túlio Viana</t>
  </si>
  <si>
    <t>tulio.viana@venetomfo.com.br</t>
  </si>
  <si>
    <t>Victor Rocha</t>
  </si>
  <si>
    <t>victor.rocha@venetomfo.com.br</t>
  </si>
  <si>
    <t>Victor Santos</t>
  </si>
  <si>
    <t>victor.santos@venetomfo.com.br</t>
  </si>
  <si>
    <t>Analista de Inteligência Comercial</t>
  </si>
  <si>
    <t>Victoria Nazareth</t>
  </si>
  <si>
    <t>victoria.nazareth@venetomfo.com.br</t>
  </si>
  <si>
    <t>Wesley Calazans</t>
  </si>
  <si>
    <t>wesley.calazans@venetomfo.com.br</t>
  </si>
  <si>
    <t>Analista da Mesa de Operações</t>
  </si>
  <si>
    <t>CARGO</t>
  </si>
  <si>
    <t xml:space="preserve">Henrique Galvão </t>
  </si>
  <si>
    <t>LÍDER</t>
  </si>
  <si>
    <t xml:space="preserve">Mateus Artico </t>
  </si>
  <si>
    <t>mateus.artico@venetomfo.com.br</t>
  </si>
  <si>
    <t>MAS5</t>
  </si>
  <si>
    <t>Araçatuba/SP</t>
  </si>
  <si>
    <t>São Paulo/SP</t>
  </si>
  <si>
    <t>Belo Horizonte/MG</t>
  </si>
  <si>
    <t>Canadá</t>
  </si>
  <si>
    <t>Governador Valadares/MG</t>
  </si>
  <si>
    <t>CIDADE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</si>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</sst>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0"/>
  <sheetViews>
    <sheetView tabSelected="1" workbookViewId="0">
      <pane ySplit="1" topLeftCell="A2" activePane="bottomLeft" state="frozen"/>
      <selection pane="bottomLeft" activeCell="D15" sqref="D15"/>
    </sheetView>
  </sheetViews>
  <sheetFormatPr defaultColWidth="12.77734375" defaultRowHeight="13.2" x14ac:dyDescent="0.25"/>
  <cols>
    <col min="1" max="1" width="8.77734375" customWidth="1"/>
    <col min="2" max="2" width="19.21875" bestFit="1" customWidth="1"/>
    <col min="3" max="3" width="37.21875" bestFit="1" customWidth="1"/>
    <col min="4" max="4" width="28.21875" bestFit="1" customWidth="1"/>
    <col min="5" max="5" width="45.77734375" bestFit="1" customWidth="1"/>
    <col min="6" max="6" width="19.21875" bestFit="1" customWidth="1"/>
    <col min="7" max="7" width="13.77734375" bestFit="1" customWidth="1"/>
    <col min="8" max="8" width="22.77734375" bestFit="1" customWidth="1"/>
  </cols>
  <sheetData>
    <row r="1" spans="1:8" x14ac:dyDescent="0.25">
      <c r="A1" s="3" t="s">
        <v>0</v>
      </c>
      <c r="B1" s="3" t="s">
        <v>1</v>
      </c>
      <c r="C1" s="3" t="s">
        <v>206</v>
      </c>
      <c r="D1" s="3" t="s">
        <v>2</v>
      </c>
      <c r="E1" s="3" t="s">
        <v>194</v>
      </c>
      <c r="F1" s="3" t="s">
        <v>196</v>
      </c>
      <c r="G1" s="3" t="s">
        <v>3</v>
      </c>
      <c r="H1" s="3" t="s">
        <v>205</v>
      </c>
    </row>
    <row r="2" spans="1:8" x14ac:dyDescent="0.25">
      <c r="A2" s="1" t="str">
        <f ca="1">IFERROR(__xludf.DUMMYFUNCTION("UPPER(LEFT(
TEXTJOIN("""" , TRUE ,
FILTER(
ARRAYFORMULA(LEFT(SPLIT(B2,"" "") , 1)) ,
NOT(REGEXMATCH(SPLIT(B2,"" "") , ""^(de|da|do|dos|das)$""))
)
) , 3))
&amp;
IF(H2=""CLT"",5,
IF(H2=""Estagiário"",5,
IF(H2=""Sócio Operacional"",5,
IF(H2=""Sócio Comercial"","&amp;"6,""""))))
"),"AFS6")</f>
        <v>AFS6</v>
      </c>
      <c r="B2" s="1" t="s">
        <v>4</v>
      </c>
      <c r="C2" s="1" t="s">
        <v>5</v>
      </c>
      <c r="D2" s="1" t="s">
        <v>7</v>
      </c>
      <c r="E2" s="1" t="s">
        <v>6</v>
      </c>
      <c r="F2" t="s">
        <v>71</v>
      </c>
      <c r="G2" s="1" t="s">
        <v>8</v>
      </c>
      <c r="H2" t="s">
        <v>200</v>
      </c>
    </row>
    <row r="3" spans="1:8" x14ac:dyDescent="0.25">
      <c r="A3" s="1" t="str">
        <f ca="1">IFERROR(__xludf.DUMMYFUNCTION("UPPER(LEFT(
TEXTJOIN("""" , TRUE ,
FILTER(
ARRAYFORMULA(LEFT(SPLIT(B3,"" "") , 1)) ,
NOT(REGEXMATCH(SPLIT(B3,"" "") , ""^(de|da|do|dos|das)$""))
)
) , 3))
&amp;
IF(H3=""CLT"",5,
IF(H3=""Estagiário"",5,
IF(H3=""Sócio Operacional"",5,
IF(H3=""Sócio Comercial"","&amp;"6,""""))))
"),"ADM6")</f>
        <v>ADM6</v>
      </c>
      <c r="B3" s="1" t="s">
        <v>9</v>
      </c>
      <c r="C3" s="1" t="s">
        <v>10</v>
      </c>
      <c r="D3" s="1" t="s">
        <v>7</v>
      </c>
      <c r="E3" s="1" t="s">
        <v>11</v>
      </c>
      <c r="F3" t="s">
        <v>71</v>
      </c>
      <c r="G3" s="1" t="s">
        <v>8</v>
      </c>
      <c r="H3" t="s">
        <v>201</v>
      </c>
    </row>
    <row r="4" spans="1:8" x14ac:dyDescent="0.25">
      <c r="A4" s="1" t="str">
        <f ca="1">IFERROR(__xludf.DUMMYFUNCTION("UPPER(LEFT(
TEXTJOIN("""" , TRUE ,
FILTER(
ARRAYFORMULA(LEFT(SPLIT(B4,"" "") , 1)) ,
NOT(REGEXMATCH(SPLIT(B4,"" "") , ""^(de|da|do|dos|das)$""))
)
) , 3))
&amp;
IF(H4=""CLT"",5,
IF(H4=""Estagiário"",5,
IF(H4=""Sócio Operacional"",5,
IF(H4=""Sócio Comercial"","&amp;"6,""""))))
"),"AMP5")</f>
        <v>AMP5</v>
      </c>
      <c r="B4" s="1" t="s">
        <v>12</v>
      </c>
      <c r="C4" s="1" t="s">
        <v>13</v>
      </c>
      <c r="D4" s="1" t="s">
        <v>15</v>
      </c>
      <c r="E4" s="1" t="s">
        <v>14</v>
      </c>
      <c r="F4" t="s">
        <v>195</v>
      </c>
      <c r="G4" s="1" t="s">
        <v>8</v>
      </c>
      <c r="H4" t="s">
        <v>202</v>
      </c>
    </row>
    <row r="5" spans="1:8" x14ac:dyDescent="0.25">
      <c r="A5" s="1" t="str">
        <f ca="1">IFERROR(__xludf.DUMMYFUNCTION("UPPER(LEFT(
TEXTJOIN("""" , TRUE ,
FILTER(
ARRAYFORMULA(LEFT(SPLIT(B5,"" "") , 1)) ,
NOT(REGEXMATCH(SPLIT(B5,"" "") , ""^(de|da|do|dos|das)$""))
)
) , 3))
&amp;
IF(H5=""CLT"",5,
IF(H5=""Estagiário"",5,
IF(H5=""Sócio Operacional"",5,
IF(H5=""Sócio Comercial"","&amp;"6,""""))))
"),"ABP5")</f>
        <v>ABP5</v>
      </c>
      <c r="B5" s="1" t="s">
        <v>16</v>
      </c>
      <c r="C5" s="1" t="s">
        <v>17</v>
      </c>
      <c r="D5" s="1" t="s">
        <v>19</v>
      </c>
      <c r="E5" s="1" t="s">
        <v>18</v>
      </c>
      <c r="F5" t="s">
        <v>174</v>
      </c>
      <c r="G5" s="1" t="s">
        <v>8</v>
      </c>
      <c r="H5" t="s">
        <v>202</v>
      </c>
    </row>
    <row r="6" spans="1:8" x14ac:dyDescent="0.25">
      <c r="A6" s="1" t="str">
        <f ca="1">IFERROR(__xludf.DUMMYFUNCTION("UPPER(LEFT(
TEXTJOIN("""" , TRUE ,
FILTER(
ARRAYFORMULA(LEFT(SPLIT(B6,"" "") , 1)) ,
NOT(REGEXMATCH(SPLIT(B6,"" "") , ""^(de|da|do|dos|das)$""))
)
) , 3))
&amp;
IF(H6=""CLT"",5,
IF(H6=""Estagiário"",5,
IF(H6=""Sócio Operacional"",5,
IF(H6=""Sócio Comercial"","&amp;"6,""""))))
"),"ACA5")</f>
        <v>ACA5</v>
      </c>
      <c r="B6" s="1" t="s">
        <v>20</v>
      </c>
      <c r="C6" s="1" t="s">
        <v>21</v>
      </c>
      <c r="D6" s="1" t="s">
        <v>23</v>
      </c>
      <c r="E6" s="1" t="s">
        <v>22</v>
      </c>
      <c r="F6" t="s">
        <v>174</v>
      </c>
      <c r="G6" s="1" t="s">
        <v>8</v>
      </c>
      <c r="H6" t="s">
        <v>202</v>
      </c>
    </row>
    <row r="7" spans="1:8" x14ac:dyDescent="0.25">
      <c r="A7" s="1" t="s">
        <v>24</v>
      </c>
      <c r="B7" s="1" t="s">
        <v>25</v>
      </c>
      <c r="C7" s="1" t="s">
        <v>26</v>
      </c>
      <c r="D7" s="1" t="s">
        <v>28</v>
      </c>
      <c r="E7" s="1" t="s">
        <v>27</v>
      </c>
      <c r="F7" t="s">
        <v>88</v>
      </c>
      <c r="G7" s="1" t="s">
        <v>29</v>
      </c>
      <c r="H7" t="s">
        <v>202</v>
      </c>
    </row>
    <row r="8" spans="1:8" x14ac:dyDescent="0.25">
      <c r="A8" s="1" t="str">
        <f ca="1">IFERROR(__xludf.DUMMYFUNCTION("UPPER(LEFT(
TEXTJOIN("""" , TRUE ,
FILTER(
ARRAYFORMULA(LEFT(SPLIT(B8,"" "") , 1)) ,
NOT(REGEXMATCH(SPLIT(B8,"" "") , ""^(de|da|do|dos|das)$""))
)
) , 3))
&amp;
IF(H8=""CLT"",5,
IF(H8=""Estagiário"",5,
IF(H8=""Sócio Operacional"",5,
IF(H8=""Sócio Comercial"","&amp;"6,""""))))
"),"ACL5")</f>
        <v>ACL5</v>
      </c>
      <c r="B8" s="1" t="s">
        <v>30</v>
      </c>
      <c r="C8" s="1" t="s">
        <v>31</v>
      </c>
      <c r="D8" s="1" t="s">
        <v>7</v>
      </c>
      <c r="E8" s="1" t="s">
        <v>32</v>
      </c>
      <c r="F8" t="s">
        <v>124</v>
      </c>
      <c r="G8" s="1" t="s">
        <v>8</v>
      </c>
      <c r="H8" t="s">
        <v>202</v>
      </c>
    </row>
    <row r="9" spans="1:8" x14ac:dyDescent="0.25">
      <c r="A9" s="1" t="str">
        <f ca="1">IFERROR(__xludf.DUMMYFUNCTION("UPPER(LEFT(
TEXTJOIN("""" , TRUE ,
FILTER(
ARRAYFORMULA(LEFT(SPLIT(B9,"" "") , 1)) ,
NOT(REGEXMATCH(SPLIT(B9,"" "") , ""^(de|da|do|dos|das)$""))
)
) , 3))
&amp;
IF(H9=""CLT"",5,
IF(H9=""Estagiário"",5,
IF(H9=""Sócio Operacional"",5,
IF(H9=""Sócio Comercial"","&amp;"6,""""))))
"),"AVT5")</f>
        <v>AVT5</v>
      </c>
      <c r="B9" s="1" t="s">
        <v>33</v>
      </c>
      <c r="C9" s="1" t="s">
        <v>34</v>
      </c>
      <c r="D9" s="1" t="s">
        <v>19</v>
      </c>
      <c r="E9" s="1" t="s">
        <v>35</v>
      </c>
      <c r="F9" t="s">
        <v>174</v>
      </c>
      <c r="G9" s="1" t="s">
        <v>8</v>
      </c>
      <c r="H9" t="s">
        <v>202</v>
      </c>
    </row>
    <row r="10" spans="1:8" x14ac:dyDescent="0.25">
      <c r="A10" s="1" t="str">
        <f ca="1">IFERROR(__xludf.DUMMYFUNCTION("UPPER(LEFT(
TEXTJOIN("""" , TRUE ,
FILTER(
ARRAYFORMULA(LEFT(SPLIT(B10,"" "") , 1)) ,
NOT(REGEXMATCH(SPLIT(B10,"" "") , ""^(de|da|do|dos|das)$""))
)
) , 3))
&amp;
IF(H10=""CLT"",5,
IF(H10=""Estagiário"",5,
IF(H10=""Sócio Operacional"",5,
IF(H10=""Sócio Comerc"&amp;"ial"",6,""""))))
"),"BPO6")</f>
        <v>BPO6</v>
      </c>
      <c r="B10" s="1" t="s">
        <v>36</v>
      </c>
      <c r="C10" s="1" t="s">
        <v>37</v>
      </c>
      <c r="D10" s="1" t="s">
        <v>7</v>
      </c>
      <c r="E10" s="1" t="s">
        <v>6</v>
      </c>
      <c r="F10" t="s">
        <v>156</v>
      </c>
      <c r="G10" s="1" t="s">
        <v>8</v>
      </c>
      <c r="H10" t="s">
        <v>202</v>
      </c>
    </row>
    <row r="11" spans="1:8" x14ac:dyDescent="0.25">
      <c r="A11" s="1" t="str">
        <f ca="1">IFERROR(__xludf.DUMMYFUNCTION("UPPER(LEFT(
TEXTJOIN("""" , TRUE ,
FILTER(
ARRAYFORMULA(LEFT(SPLIT(B11,"" "") , 1)) ,
NOT(REGEXMATCH(SPLIT(B11,"" "") , ""^(de|da|do|dos|das)$""))
)
) , 3))
&amp;
IF(H11=""CLT"",5,
IF(H11=""Estagiário"",5,
IF(H11=""Sócio Operacional"",5,
IF(H11=""Sócio Comerc"&amp;"ial"",6,""""))))
"),"BFG6")</f>
        <v>BFG6</v>
      </c>
      <c r="B11" s="1" t="s">
        <v>38</v>
      </c>
      <c r="C11" s="1" t="s">
        <v>39</v>
      </c>
      <c r="D11" s="1" t="s">
        <v>7</v>
      </c>
      <c r="E11" s="1" t="s">
        <v>6</v>
      </c>
      <c r="F11" t="s">
        <v>156</v>
      </c>
      <c r="G11" s="1" t="s">
        <v>8</v>
      </c>
      <c r="H11" t="s">
        <v>202</v>
      </c>
    </row>
    <row r="12" spans="1:8" x14ac:dyDescent="0.25">
      <c r="A12" s="1" t="str">
        <f ca="1">IFERROR(__xludf.DUMMYFUNCTION("UPPER(LEFT(
TEXTJOIN("""" , TRUE ,
FILTER(
ARRAYFORMULA(LEFT(SPLIT(B12,"" "") , 1)) ,
NOT(REGEXMATCH(SPLIT(B12,"" "") , ""^(de|da|do|dos|das)$""))
)
) , 3))
&amp;
IF(H12=""CLT"",5,
IF(H12=""Estagiário"",5,
IF(H12=""Sócio Operacional"",5,
IF(H12=""Sócio Comerc"&amp;"ial"",6,""""))))
"),"BFC6")</f>
        <v>BFC6</v>
      </c>
      <c r="B12" s="1" t="s">
        <v>40</v>
      </c>
      <c r="C12" s="1" t="s">
        <v>41</v>
      </c>
      <c r="D12" s="1" t="s">
        <v>7</v>
      </c>
      <c r="E12" s="1" t="s">
        <v>6</v>
      </c>
      <c r="F12" t="s">
        <v>71</v>
      </c>
      <c r="G12" s="1" t="s">
        <v>8</v>
      </c>
      <c r="H12" t="s">
        <v>201</v>
      </c>
    </row>
    <row r="13" spans="1:8" x14ac:dyDescent="0.25">
      <c r="A13" s="1" t="str">
        <f ca="1">IFERROR(__xludf.DUMMYFUNCTION("UPPER(LEFT(
TEXTJOIN("""" , TRUE ,
FILTER(
ARRAYFORMULA(LEFT(SPLIT(B13,"" "") , 1)) ,
NOT(REGEXMATCH(SPLIT(B13,"" "") , ""^(de|da|do|dos|das)$""))
)
) , 3))
&amp;
IF(H13=""CLT"",5,
IF(H13=""Estagiário"",5,
IF(H13=""Sócio Operacional"",5,
IF(H13=""Sócio Comerc"&amp;"ial"",6,""""))))
"),"BLB5")</f>
        <v>BLB5</v>
      </c>
      <c r="B13" s="1" t="s">
        <v>42</v>
      </c>
      <c r="C13" s="1" t="s">
        <v>43</v>
      </c>
      <c r="D13" s="1" t="s">
        <v>45</v>
      </c>
      <c r="E13" s="1" t="s">
        <v>44</v>
      </c>
      <c r="F13" t="s">
        <v>25</v>
      </c>
      <c r="G13" s="1" t="s">
        <v>8</v>
      </c>
      <c r="H13" t="s">
        <v>202</v>
      </c>
    </row>
    <row r="14" spans="1:8" x14ac:dyDescent="0.25">
      <c r="A14" s="1" t="str">
        <f ca="1">IFERROR(__xludf.DUMMYFUNCTION("UPPER(LEFT(
TEXTJOIN("""" , TRUE ,
FILTER(
ARRAYFORMULA(LEFT(SPLIT(B14,"" "") , 1)) ,
NOT(REGEXMATCH(SPLIT(B14,"" "") , ""^(de|da|do|dos|das)$""))
)
) , 3))
&amp;
IF(H14=""CLT"",5,
IF(H14=""Estagiário"",5,
IF(H14=""Sócio Operacional"",5,
IF(H14=""Sócio Comerc"&amp;"ial"",6,""""))))
"),"CMS6")</f>
        <v>CMS6</v>
      </c>
      <c r="B14" s="1" t="s">
        <v>46</v>
      </c>
      <c r="C14" s="1" t="s">
        <v>47</v>
      </c>
      <c r="D14" s="1" t="s">
        <v>7</v>
      </c>
      <c r="E14" s="1" t="s">
        <v>6</v>
      </c>
      <c r="F14" t="s">
        <v>71</v>
      </c>
      <c r="G14" s="1" t="s">
        <v>8</v>
      </c>
      <c r="H14" t="s">
        <v>201</v>
      </c>
    </row>
    <row r="15" spans="1:8" x14ac:dyDescent="0.25">
      <c r="A15" s="1" t="str">
        <f ca="1">IFERROR(__xludf.DUMMYFUNCTION("UPPER(LEFT(
TEXTJOIN("""" , TRUE ,
FILTER(
ARRAYFORMULA(LEFT(SPLIT(B15,"" "") , 1)) ,
NOT(REGEXMATCH(SPLIT(B15,"" "") , ""^(de|da|do|dos|das)$""))
)
) , 3))
&amp;
IF(H15=""CLT"",5,
IF(H15=""Estagiário"",5,
IF(H15=""Sócio Operacional"",5,
IF(H15=""Sócio Comerc"&amp;"ial"",6,""""))))
"),"CRM5")</f>
        <v>CRM5</v>
      </c>
      <c r="B15" s="1" t="s">
        <v>48</v>
      </c>
      <c r="C15" s="1" t="s">
        <v>49</v>
      </c>
      <c r="D15" s="1" t="s">
        <v>15</v>
      </c>
      <c r="E15" s="1" t="s">
        <v>14</v>
      </c>
      <c r="F15" t="s">
        <v>195</v>
      </c>
      <c r="G15" s="1" t="s">
        <v>8</v>
      </c>
      <c r="H15" t="s">
        <v>202</v>
      </c>
    </row>
    <row r="16" spans="1:8" x14ac:dyDescent="0.25">
      <c r="A16" s="1" t="str">
        <f ca="1">IFERROR(__xludf.DUMMYFUNCTION("UPPER(LEFT(
TEXTJOIN("""" , TRUE ,
FILTER(
ARRAYFORMULA(LEFT(SPLIT(B16,"" "") , 1)) ,
NOT(REGEXMATCH(SPLIT(B16,"" "") , ""^(de|da|do|dos|das)$""))
)
) , 3))
&amp;
IF(H16=""CLT"",5,
IF(H16=""Estagiário"",5,
IF(H16=""Sócio Operacional"",5,
IF(H16=""Sócio Comerc"&amp;"ial"",6,""""))))
"),"CAA6")</f>
        <v>CAA6</v>
      </c>
      <c r="B16" s="1" t="s">
        <v>50</v>
      </c>
      <c r="C16" s="1" t="s">
        <v>51</v>
      </c>
      <c r="D16" s="1" t="s">
        <v>7</v>
      </c>
      <c r="E16" s="1" t="s">
        <v>6</v>
      </c>
      <c r="F16" t="s">
        <v>71</v>
      </c>
      <c r="G16" s="1" t="s">
        <v>8</v>
      </c>
      <c r="H16" t="s">
        <v>201</v>
      </c>
    </row>
    <row r="17" spans="1:8" x14ac:dyDescent="0.25">
      <c r="A17" s="1" t="str">
        <f ca="1">IFERROR(__xludf.DUMMYFUNCTION("UPPER(LEFT(
TEXTJOIN("""" , TRUE ,
FILTER(
ARRAYFORMULA(LEFT(SPLIT(B17,"" "") , 1)) ,
NOT(REGEXMATCH(SPLIT(B17,"" "") , ""^(de|da|do|dos|das)$""))
)
) , 3))
&amp;
IF(H17=""CLT"",5,
IF(H17=""Estagiário"",5,
IF(H17=""Sócio Operacional"",5,
IF(H17=""Sócio Comerc"&amp;"ial"",6,""""))))
"),"CHC5")</f>
        <v>CHC5</v>
      </c>
      <c r="B17" s="1" t="s">
        <v>52</v>
      </c>
      <c r="C17" s="1" t="s">
        <v>53</v>
      </c>
      <c r="D17" s="1" t="s">
        <v>55</v>
      </c>
      <c r="E17" s="1" t="s">
        <v>54</v>
      </c>
      <c r="F17" t="s">
        <v>88</v>
      </c>
      <c r="G17" s="1" t="s">
        <v>29</v>
      </c>
      <c r="H17" t="s">
        <v>202</v>
      </c>
    </row>
    <row r="18" spans="1:8" x14ac:dyDescent="0.25">
      <c r="A18" s="1" t="str">
        <f ca="1">IFERROR(__xludf.DUMMYFUNCTION("UPPER(LEFT(
TEXTJOIN("""" , TRUE ,
FILTER(
ARRAYFORMULA(LEFT(SPLIT(B18,"" "") , 1)) ,
NOT(REGEXMATCH(SPLIT(B18,"" "") , ""^(de|da|do|dos|das)$""))
)
) , 3))
&amp;
IF(H18=""CLT"",5,
IF(H18=""Estagiário"",5,
IF(H18=""Sócio Operacional"",5,
IF(H18=""Sócio Comerc"&amp;"ial"",6,""""))))
"),"CAG5")</f>
        <v>CAG5</v>
      </c>
      <c r="B18" s="1" t="s">
        <v>56</v>
      </c>
      <c r="C18" s="1" t="s">
        <v>57</v>
      </c>
      <c r="D18" s="1" t="s">
        <v>59</v>
      </c>
      <c r="E18" s="1" t="s">
        <v>58</v>
      </c>
      <c r="F18" t="s">
        <v>174</v>
      </c>
      <c r="G18" s="1" t="s">
        <v>8</v>
      </c>
      <c r="H18" t="s">
        <v>202</v>
      </c>
    </row>
    <row r="19" spans="1:8" x14ac:dyDescent="0.25">
      <c r="A19" s="1" t="str">
        <f ca="1">IFERROR(__xludf.DUMMYFUNCTION("UPPER(LEFT(
TEXTJOIN("""" , TRUE ,
FILTER(
ARRAYFORMULA(LEFT(SPLIT(B19,"" "") , 1)) ,
NOT(REGEXMATCH(SPLIT(B19,"" "") , ""^(de|da|do|dos|das)$""))
)
) , 3))
&amp;
IF(H19=""CLT"",5,
IF(H19=""Estagiário"",5,
IF(H19=""Sócio Operacional"",5,
IF(H19=""Sócio Comerc"&amp;"ial"",6,""""))))
"),"CGN6")</f>
        <v>CGN6</v>
      </c>
      <c r="B19" s="1" t="s">
        <v>60</v>
      </c>
      <c r="C19" s="1" t="s">
        <v>61</v>
      </c>
      <c r="D19" s="1" t="s">
        <v>7</v>
      </c>
      <c r="E19" s="1" t="s">
        <v>6</v>
      </c>
      <c r="F19" t="s">
        <v>156</v>
      </c>
      <c r="G19" s="1" t="s">
        <v>8</v>
      </c>
      <c r="H19" t="s">
        <v>202</v>
      </c>
    </row>
    <row r="20" spans="1:8" x14ac:dyDescent="0.25">
      <c r="A20" s="1" t="str">
        <f ca="1">IFERROR(__xludf.DUMMYFUNCTION("UPPER(LEFT(
TEXTJOIN("""" , TRUE ,
FILTER(
ARRAYFORMULA(LEFT(SPLIT(B20,"" "") , 1)) ,
NOT(REGEXMATCH(SPLIT(B20,"" "") , ""^(de|da|do|dos|das)$""))
)
) , 3))
&amp;
IF(H20=""CLT"",5,
IF(H20=""Estagiário"",5,
IF(H20=""Sócio Operacional"",5,
IF(H20=""Sócio Comerc"&amp;"ial"",6,""""))))
"),"DLF5")</f>
        <v>DLF5</v>
      </c>
      <c r="B20" s="1" t="s">
        <v>62</v>
      </c>
      <c r="C20" s="1" t="s">
        <v>63</v>
      </c>
      <c r="D20" s="1" t="s">
        <v>15</v>
      </c>
      <c r="E20" s="1" t="s">
        <v>64</v>
      </c>
      <c r="F20" t="s">
        <v>195</v>
      </c>
      <c r="G20" s="1" t="s">
        <v>8</v>
      </c>
      <c r="H20" t="s">
        <v>202</v>
      </c>
    </row>
    <row r="21" spans="1:8" x14ac:dyDescent="0.25">
      <c r="A21" s="1" t="str">
        <f ca="1">IFERROR(__xludf.DUMMYFUNCTION("UPPER(LEFT(
TEXTJOIN("""" , TRUE ,
FILTER(
ARRAYFORMULA(LEFT(SPLIT(B21,"" "") , 1)) ,
NOT(REGEXMATCH(SPLIT(B21,"" "") , ""^(de|da|do|dos|das)$""))
)
) , 3))
&amp;
IF(H21=""CLT"",5,
IF(H21=""Estagiário"",5,
IF(H21=""Sócio Operacional"",5,
IF(H21=""Sócio Comerc"&amp;"ial"",6,""""))))
"),"DSC5")</f>
        <v>DSC5</v>
      </c>
      <c r="B21" s="1" t="s">
        <v>65</v>
      </c>
      <c r="C21" s="1" t="s">
        <v>66</v>
      </c>
      <c r="D21" s="1" t="s">
        <v>68</v>
      </c>
      <c r="E21" s="1" t="s">
        <v>67</v>
      </c>
      <c r="F21" t="s">
        <v>25</v>
      </c>
      <c r="G21" s="1" t="s">
        <v>8</v>
      </c>
      <c r="H21" t="s">
        <v>202</v>
      </c>
    </row>
    <row r="22" spans="1:8" x14ac:dyDescent="0.25">
      <c r="A22" s="1" t="str">
        <f ca="1">IFERROR(__xludf.DUMMYFUNCTION("UPPER(LEFT(
TEXTJOIN("""" , TRUE ,
FILTER(
ARRAYFORMULA(LEFT(SPLIT(B22,"" "") , 1)) ,
NOT(REGEXMATCH(SPLIT(B22,"" "") , ""^(de|da|do|dos|das)$""))
)
) , 3))
&amp;
IF(H22=""CLT"",5,
IF(H22=""Estagiário"",5,
IF(H22=""Sócio Operacional"",5,
IF(H22=""Sócio Comerc"&amp;"ial"",6,""""))))
"),"DDV6")</f>
        <v>DDV6</v>
      </c>
      <c r="B22" s="1" t="s">
        <v>69</v>
      </c>
      <c r="C22" s="1" t="s">
        <v>70</v>
      </c>
      <c r="D22" s="1" t="s">
        <v>7</v>
      </c>
      <c r="E22" s="1" t="s">
        <v>6</v>
      </c>
      <c r="F22" t="s">
        <v>156</v>
      </c>
      <c r="G22" s="1" t="s">
        <v>8</v>
      </c>
      <c r="H22" t="s">
        <v>202</v>
      </c>
    </row>
    <row r="23" spans="1:8" x14ac:dyDescent="0.25">
      <c r="A23" s="1" t="str">
        <f ca="1">IFERROR(__xludf.DUMMYFUNCTION("UPPER(LEFT(
TEXTJOIN("""" , TRUE ,
FILTER(
ARRAYFORMULA(LEFT(SPLIT(B23,"" "") , 1)) ,
NOT(REGEXMATCH(SPLIT(B23,"" "") , ""^(de|da|do|dos|das)$""))
)
) , 3))
&amp;
IF(H23=""CLT"",5,
IF(H23=""Estagiário"",5,
IF(H23=""Sócio Operacional"",5,
IF(H23=""Sócio Comerc"&amp;"ial"",6,""""))))
"),"EMO6")</f>
        <v>EMO6</v>
      </c>
      <c r="B23" s="1" t="s">
        <v>71</v>
      </c>
      <c r="C23" s="1" t="s">
        <v>72</v>
      </c>
      <c r="D23" s="1" t="s">
        <v>7</v>
      </c>
      <c r="E23" s="1" t="s">
        <v>73</v>
      </c>
      <c r="F23" t="s">
        <v>88</v>
      </c>
      <c r="G23" s="1" t="s">
        <v>8</v>
      </c>
      <c r="H23" t="s">
        <v>201</v>
      </c>
    </row>
    <row r="24" spans="1:8" x14ac:dyDescent="0.25">
      <c r="A24" s="1" t="str">
        <f ca="1">IFERROR(__xludf.DUMMYFUNCTION("UPPER(LEFT(
TEXTJOIN("""" , TRUE ,
FILTER(
ARRAYFORMULA(LEFT(SPLIT(B24,"" "") , 1)) ,
NOT(REGEXMATCH(SPLIT(B24,"" "") , ""^(de|da|do|dos|das)$""))
)
) , 3))
&amp;
IF(H24=""CLT"",5,
IF(H24=""Estagiário"",5,
IF(H24=""Sócio Operacional"",5,
IF(H24=""Sócio Comerc"&amp;"ial"",6,""""))))
"),"EMV5")</f>
        <v>EMV5</v>
      </c>
      <c r="B24" s="1" t="s">
        <v>74</v>
      </c>
      <c r="C24" s="1" t="s">
        <v>75</v>
      </c>
      <c r="D24" s="1" t="s">
        <v>77</v>
      </c>
      <c r="E24" s="1" t="s">
        <v>76</v>
      </c>
      <c r="F24" t="s">
        <v>88</v>
      </c>
      <c r="G24" s="1" t="s">
        <v>8</v>
      </c>
      <c r="H24" t="s">
        <v>202</v>
      </c>
    </row>
    <row r="25" spans="1:8" x14ac:dyDescent="0.25">
      <c r="A25" s="1" t="str">
        <f ca="1">IFERROR(__xludf.DUMMYFUNCTION("UPPER(LEFT(
TEXTJOIN("""" , TRUE ,
FILTER(
ARRAYFORMULA(LEFT(SPLIT(B25,"" "") , 1)) ,
NOT(REGEXMATCH(SPLIT(B25,"" "") , ""^(de|da|do|dos|das)$""))
)
) , 3))
&amp;
IF(H25=""CLT"",5,
IF(H25=""Estagiário"",5,
IF(H25=""Sócio Operacional"",5,
IF(H25=""Sócio Comerc"&amp;"ial"",6,""""))))
"),"ECC5")</f>
        <v>ECC5</v>
      </c>
      <c r="B25" s="1" t="s">
        <v>78</v>
      </c>
      <c r="C25" s="1" t="s">
        <v>79</v>
      </c>
      <c r="D25" s="1" t="s">
        <v>81</v>
      </c>
      <c r="E25" s="1" t="s">
        <v>80</v>
      </c>
      <c r="F25" t="s">
        <v>174</v>
      </c>
      <c r="G25" s="1" t="s">
        <v>8</v>
      </c>
      <c r="H25" t="s">
        <v>202</v>
      </c>
    </row>
    <row r="26" spans="1:8" x14ac:dyDescent="0.25">
      <c r="A26" s="1" t="str">
        <f ca="1">IFERROR(__xludf.DUMMYFUNCTION("UPPER(LEFT(
TEXTJOIN("""" , TRUE ,
FILTER(
ARRAYFORMULA(LEFT(SPLIT(B26,"" "") , 1)) ,
NOT(REGEXMATCH(SPLIT(B26,"" "") , ""^(de|da|do|dos|das)$""))
)
) , 3))
&amp;
IF(H26=""CLT"",5,
IF(H26=""Estagiário"",5,
IF(H26=""Sócio Operacional"",5,
IF(H26=""Sócio Comerc"&amp;"ial"",6,""""))))
"),"FM6")</f>
        <v>FM6</v>
      </c>
      <c r="B26" s="1" t="s">
        <v>82</v>
      </c>
      <c r="C26" s="1" t="s">
        <v>83</v>
      </c>
      <c r="D26" s="1" t="s">
        <v>7</v>
      </c>
      <c r="E26" s="1" t="s">
        <v>6</v>
      </c>
      <c r="F26" t="s">
        <v>71</v>
      </c>
      <c r="G26" s="1" t="s">
        <v>8</v>
      </c>
      <c r="H26" t="s">
        <v>201</v>
      </c>
    </row>
    <row r="27" spans="1:8" x14ac:dyDescent="0.25">
      <c r="A27" s="1" t="str">
        <f ca="1">IFERROR(__xludf.DUMMYFUNCTION("UPPER(LEFT(
TEXTJOIN("""" , TRUE ,
FILTER(
ARRAYFORMULA(LEFT(SPLIT(B27,"" "") , 1)) ,
NOT(REGEXMATCH(SPLIT(B27,"" "") , ""^(de|da|do|dos|das)$""))
)
) , 3))
&amp;
IF(H27=""CLT"",5,
IF(H27=""Estagiário"",5,
IF(H27=""Sócio Operacional"",5,
IF(H27=""Sócio Comerc"&amp;"ial"",6,""""))))
"),"FRA5")</f>
        <v>FRA5</v>
      </c>
      <c r="B27" s="1" t="s">
        <v>84</v>
      </c>
      <c r="C27" s="1" t="s">
        <v>85</v>
      </c>
      <c r="D27" s="1" t="s">
        <v>87</v>
      </c>
      <c r="E27" s="1" t="s">
        <v>86</v>
      </c>
      <c r="F27" t="s">
        <v>171</v>
      </c>
      <c r="G27" s="1" t="s">
        <v>8</v>
      </c>
      <c r="H27" t="s">
        <v>202</v>
      </c>
    </row>
    <row r="28" spans="1:8" x14ac:dyDescent="0.25">
      <c r="A28" s="1" t="str">
        <f ca="1">IFERROR(__xludf.DUMMYFUNCTION("UPPER(LEFT(
TEXTJOIN("""" , TRUE ,
FILTER(
ARRAYFORMULA(LEFT(SPLIT(B28,"" "") , 1)) ,
NOT(REGEXMATCH(SPLIT(B28,"" "") , ""^(de|da|do|dos|das)$""))
)
) , 3))
&amp;
IF(H28=""CLT"",5,
IF(H28=""Estagiário"",5,
IF(H28=""Sócio Operacional"",5,
IF(H28=""Sócio Comerc"&amp;"ial"",6,""""))))
"),"FLD5")</f>
        <v>FLD5</v>
      </c>
      <c r="B28" s="1" t="s">
        <v>88</v>
      </c>
      <c r="C28" s="1" t="s">
        <v>89</v>
      </c>
      <c r="D28" s="1" t="s">
        <v>55</v>
      </c>
      <c r="E28" s="1" t="s">
        <v>90</v>
      </c>
      <c r="F28" t="s">
        <v>52</v>
      </c>
      <c r="G28" s="1" t="s">
        <v>29</v>
      </c>
      <c r="H28" t="s">
        <v>202</v>
      </c>
    </row>
    <row r="29" spans="1:8" x14ac:dyDescent="0.25">
      <c r="A29" s="1" t="str">
        <f ca="1">IFERROR(__xludf.DUMMYFUNCTION("UPPER(LEFT(
TEXTJOIN("""" , TRUE ,
FILTER(
ARRAYFORMULA(LEFT(SPLIT(B29,"" "") , 1)) ,
NOT(REGEXMATCH(SPLIT(B29,"" "") , ""^(de|da|do|dos|das)$""))
)
) , 3))
&amp;
IF(H29=""CLT"",5,
IF(H29=""Estagiário"",5,
IF(H29=""Sócio Operacional"",5,
IF(H29=""Sócio Comerc"&amp;"ial"",6,""""))))
"),"GCC5")</f>
        <v>GCC5</v>
      </c>
      <c r="B29" s="1" t="s">
        <v>91</v>
      </c>
      <c r="C29" s="1" t="s">
        <v>92</v>
      </c>
      <c r="D29" s="1" t="s">
        <v>81</v>
      </c>
      <c r="E29" s="1" t="s">
        <v>93</v>
      </c>
      <c r="F29" t="s">
        <v>174</v>
      </c>
      <c r="G29" s="1" t="s">
        <v>8</v>
      </c>
      <c r="H29" t="s">
        <v>202</v>
      </c>
    </row>
    <row r="30" spans="1:8" x14ac:dyDescent="0.25">
      <c r="A30" s="1" t="str">
        <f ca="1">IFERROR(__xludf.DUMMYFUNCTION("UPPER(LEFT(
TEXTJOIN("""" , TRUE ,
FILTER(
ARRAYFORMULA(LEFT(SPLIT(B30,"" "") , 1)) ,
NOT(REGEXMATCH(SPLIT(B30,"" "") , ""^(de|da|do|dos|das)$""))
)
) , 3))
&amp;
IF(H30=""CLT"",5,
IF(H30=""Estagiário"",5,
IF(H30=""Sócio Operacional"",5,
IF(H30=""Sócio Comerc"&amp;"ial"",6,""""))))
"),"GPN6")</f>
        <v>GPN6</v>
      </c>
      <c r="B30" s="1" t="s">
        <v>94</v>
      </c>
      <c r="C30" s="1" t="s">
        <v>95</v>
      </c>
      <c r="D30" s="1" t="s">
        <v>7</v>
      </c>
      <c r="E30" s="1" t="s">
        <v>96</v>
      </c>
      <c r="F30" t="s">
        <v>101</v>
      </c>
      <c r="G30" s="1" t="s">
        <v>8</v>
      </c>
      <c r="H30" t="s">
        <v>202</v>
      </c>
    </row>
    <row r="31" spans="1:8" x14ac:dyDescent="0.25">
      <c r="A31" s="1" t="str">
        <f ca="1">IFERROR(__xludf.DUMMYFUNCTION("UPPER(LEFT(
TEXTJOIN("""" , TRUE ,
FILTER(
ARRAYFORMULA(LEFT(SPLIT(B31,"" "") , 1)) ,
NOT(REGEXMATCH(SPLIT(B31,"" "") , ""^(de|da|do|dos|das)$""))
)
) , 3))
&amp;
IF(H31=""CLT"",5,
IF(H31=""Estagiário"",5,
IF(H31=""Sócio Operacional"",5,
IF(H31=""Sócio Comerc"&amp;"ial"",6,""""))))
"),"GAA6")</f>
        <v>GAA6</v>
      </c>
      <c r="B31" s="1" t="s">
        <v>97</v>
      </c>
      <c r="C31" s="1" t="s">
        <v>98</v>
      </c>
      <c r="D31" s="1" t="s">
        <v>7</v>
      </c>
      <c r="E31" s="1" t="s">
        <v>96</v>
      </c>
      <c r="F31" t="s">
        <v>179</v>
      </c>
      <c r="G31" s="1" t="s">
        <v>8</v>
      </c>
      <c r="H31" t="s">
        <v>202</v>
      </c>
    </row>
    <row r="32" spans="1:8" x14ac:dyDescent="0.25">
      <c r="A32" s="1" t="str">
        <f ca="1">IFERROR(__xludf.DUMMYFUNCTION("UPPER(LEFT(
TEXTJOIN("""" , TRUE ,
FILTER(
ARRAYFORMULA(LEFT(SPLIT(B32,"" "") , 1)) ,
NOT(REGEXMATCH(SPLIT(B32,"" "") , ""^(de|da|do|dos|das)$""))
)
) , 3))
&amp;
IF(H32=""CLT"",5,
IF(H32=""Estagiário"",5,
IF(H32=""Sócio Operacional"",5,
IF(H32=""Sócio Comerc"&amp;"ial"",6,""""))))
"),"GPM6")</f>
        <v>GPM6</v>
      </c>
      <c r="B32" s="1" t="s">
        <v>99</v>
      </c>
      <c r="C32" s="1" t="s">
        <v>100</v>
      </c>
      <c r="D32" s="1" t="s">
        <v>7</v>
      </c>
      <c r="E32" s="1" t="s">
        <v>6</v>
      </c>
      <c r="F32" t="s">
        <v>156</v>
      </c>
      <c r="G32" s="1" t="s">
        <v>8</v>
      </c>
      <c r="H32" t="s">
        <v>202</v>
      </c>
    </row>
    <row r="33" spans="1:8" x14ac:dyDescent="0.25">
      <c r="A33" s="1" t="str">
        <f ca="1">IFERROR(__xludf.DUMMYFUNCTION("UPPER(LEFT(
TEXTJOIN("""" , TRUE ,
FILTER(
ARRAYFORMULA(LEFT(SPLIT(B33,"" "") , 1)) ,
NOT(REGEXMATCH(SPLIT(B33,"" "") , ""^(de|da|do|dos|das)$""))
)
) , 3))
&amp;
IF(H33=""CLT"",5,
IF(H33=""Estagiário"",5,
IF(H33=""Sócio Operacional"",5,
IF(H33=""Sócio Comerc"&amp;"ial"",6,""""))))
"),"GRO6")</f>
        <v>GRO6</v>
      </c>
      <c r="B33" s="1" t="s">
        <v>101</v>
      </c>
      <c r="C33" s="1" t="s">
        <v>102</v>
      </c>
      <c r="D33" s="1" t="s">
        <v>7</v>
      </c>
      <c r="E33" s="1" t="s">
        <v>6</v>
      </c>
      <c r="F33" t="s">
        <v>156</v>
      </c>
      <c r="G33" s="1" t="s">
        <v>8</v>
      </c>
      <c r="H33" t="s">
        <v>202</v>
      </c>
    </row>
    <row r="34" spans="1:8" x14ac:dyDescent="0.25">
      <c r="A34" s="1" t="str">
        <f ca="1">IFERROR(__xludf.DUMMYFUNCTION("UPPER(LEFT(
TEXTJOIN("""" , TRUE ,
FILTER(
ARRAYFORMULA(LEFT(SPLIT(B34,"" "") , 1)) ,
NOT(REGEXMATCH(SPLIT(B34,"" "") , ""^(de|da|do|dos|das)$""))
)
) , 3))
&amp;
IF(H34=""CLT"",5,
IF(H34=""Estagiário"",5,
IF(H34=""Sócio Operacional"",5,
IF(H34=""Sócio Comerc"&amp;"ial"",6,""""))))
"),"GZP5")</f>
        <v>GZP5</v>
      </c>
      <c r="B34" s="1" t="s">
        <v>103</v>
      </c>
      <c r="C34" s="1" t="s">
        <v>104</v>
      </c>
      <c r="D34" s="1" t="s">
        <v>87</v>
      </c>
      <c r="E34" s="1" t="s">
        <v>105</v>
      </c>
      <c r="F34" t="s">
        <v>171</v>
      </c>
      <c r="G34" s="1" t="s">
        <v>8</v>
      </c>
      <c r="H34" t="s">
        <v>202</v>
      </c>
    </row>
    <row r="35" spans="1:8" x14ac:dyDescent="0.25">
      <c r="A35" s="1" t="str">
        <f ca="1">IFERROR(__xludf.DUMMYFUNCTION("UPPER(LEFT(
TEXTJOIN("""" , TRUE ,
FILTER(
ARRAYFORMULA(LEFT(SPLIT(B35,"" "") , 1)) ,
NOT(REGEXMATCH(SPLIT(B35,"" "") , ""^(de|da|do|dos|das)$""))
)
) , 3))
&amp;
IF(H35=""CLT"",5,
IF(H35=""Estagiário"",5,
IF(H35=""Sócio Operacional"",5,
IF(H35=""Sócio Comerc"&amp;"ial"",6,""""))))
"),"HTM6")</f>
        <v>HTM6</v>
      </c>
      <c r="B35" s="1" t="s">
        <v>106</v>
      </c>
      <c r="C35" s="1" t="s">
        <v>107</v>
      </c>
      <c r="D35" s="1" t="s">
        <v>7</v>
      </c>
      <c r="E35" s="1" t="s">
        <v>6</v>
      </c>
      <c r="F35" t="s">
        <v>88</v>
      </c>
      <c r="G35" s="1" t="s">
        <v>8</v>
      </c>
      <c r="H35" t="s">
        <v>202</v>
      </c>
    </row>
    <row r="36" spans="1:8" x14ac:dyDescent="0.25">
      <c r="A36" s="1" t="str">
        <f ca="1">IFERROR(__xludf.DUMMYFUNCTION("UPPER(LEFT(
TEXTJOIN("""" , TRUE ,
FILTER(
ARRAYFORMULA(LEFT(SPLIT(B36,"" "") , 1)) ,
NOT(REGEXMATCH(SPLIT(B36,"" "") , ""^(de|da|do|dos|das)$""))
)
) , 3))
&amp;
IF(H36=""CLT"",5,
IF(H36=""Estagiário"",5,
IF(H36=""Sócio Operacional"",5,
IF(H36=""Sócio Comerc"&amp;"ial"",6,""""))))
"),"HGT5")</f>
        <v>HGT5</v>
      </c>
      <c r="B36" s="1" t="s">
        <v>108</v>
      </c>
      <c r="C36" s="1" t="s">
        <v>109</v>
      </c>
      <c r="D36" s="1" t="s">
        <v>15</v>
      </c>
      <c r="E36" s="1" t="s">
        <v>110</v>
      </c>
      <c r="F36" t="s">
        <v>88</v>
      </c>
      <c r="G36" s="1" t="s">
        <v>29</v>
      </c>
      <c r="H36" t="s">
        <v>202</v>
      </c>
    </row>
    <row r="37" spans="1:8" x14ac:dyDescent="0.25">
      <c r="A37" s="1" t="str">
        <f ca="1">IFERROR(__xludf.DUMMYFUNCTION("UPPER(LEFT(
TEXTJOIN("""" , TRUE ,
FILTER(
ARRAYFORMULA(LEFT(SPLIT(B37,"" "") , 1)) ,
NOT(REGEXMATCH(SPLIT(B37,"" "") , ""^(de|da|do|dos|das)$""))
)
) , 3))
&amp;
IF(H37=""CLT"",5,
IF(H37=""Estagiário"",5,
IF(H37=""Sócio Operacional"",5,
IF(H37=""Sócio Comerc"&amp;"ial"",6,""""))))
"),"IFM6")</f>
        <v>IFM6</v>
      </c>
      <c r="B37" s="1" t="s">
        <v>111</v>
      </c>
      <c r="C37" s="1" t="s">
        <v>112</v>
      </c>
      <c r="D37" s="1" t="s">
        <v>7</v>
      </c>
      <c r="E37" s="1" t="s">
        <v>6</v>
      </c>
      <c r="F37" t="s">
        <v>156</v>
      </c>
      <c r="G37" s="1" t="s">
        <v>8</v>
      </c>
      <c r="H37" t="s">
        <v>202</v>
      </c>
    </row>
    <row r="38" spans="1:8" x14ac:dyDescent="0.25">
      <c r="A38" s="1" t="str">
        <f ca="1">IFERROR(__xludf.DUMMYFUNCTION("UPPER(LEFT(
TEXTJOIN("""" , TRUE ,
FILTER(
ARRAYFORMULA(LEFT(SPLIT(B38,"" "") , 1)) ,
NOT(REGEXMATCH(SPLIT(B38,"" "") , ""^(de|da|do|dos|das)$""))
)
) , 3))
&amp;
IF(H38=""CLT"",5,
IF(H38=""Estagiário"",5,
IF(H38=""Sócio Operacional"",5,
IF(H38=""Sócio Comerc"&amp;"ial"",6,""""))))
"),"JLD6")</f>
        <v>JLD6</v>
      </c>
      <c r="B38" s="1" t="s">
        <v>113</v>
      </c>
      <c r="C38" s="1" t="s">
        <v>114</v>
      </c>
      <c r="D38" s="1" t="s">
        <v>7</v>
      </c>
      <c r="E38" s="1" t="s">
        <v>6</v>
      </c>
      <c r="F38" t="s">
        <v>71</v>
      </c>
      <c r="G38" s="1" t="s">
        <v>8</v>
      </c>
      <c r="H38" t="s">
        <v>201</v>
      </c>
    </row>
    <row r="39" spans="1:8" x14ac:dyDescent="0.25">
      <c r="A39" s="1" t="str">
        <f ca="1">IFERROR(__xludf.DUMMYFUNCTION("UPPER(LEFT(
TEXTJOIN("""" , TRUE ,
FILTER(
ARRAYFORMULA(LEFT(SPLIT(B39,"" "") , 1)) ,
NOT(REGEXMATCH(SPLIT(B39,"" "") , ""^(de|da|do|dos|das)$""))
)
) , 3))
&amp;
IF(H39=""CLT"",5,
IF(H39=""Estagiário"",5,
IF(H39=""Sócio Operacional"",5,
IF(H39=""Sócio Comerc"&amp;"ial"",6,""""))))
"),"JGP6")</f>
        <v>JGP6</v>
      </c>
      <c r="B39" s="1" t="s">
        <v>115</v>
      </c>
      <c r="C39" s="1" t="s">
        <v>116</v>
      </c>
      <c r="D39" s="1" t="s">
        <v>7</v>
      </c>
      <c r="E39" s="1" t="s">
        <v>117</v>
      </c>
      <c r="F39" t="s">
        <v>156</v>
      </c>
      <c r="G39" s="1" t="s">
        <v>8</v>
      </c>
      <c r="H39" t="s">
        <v>202</v>
      </c>
    </row>
    <row r="40" spans="1:8" x14ac:dyDescent="0.25">
      <c r="A40" s="1" t="str">
        <f ca="1">IFERROR(__xludf.DUMMYFUNCTION("UPPER(LEFT(
TEXTJOIN("""" , TRUE ,
FILTER(
ARRAYFORMULA(LEFT(SPLIT(B40,"" "") , 1)) ,
NOT(REGEXMATCH(SPLIT(B40,"" "") , ""^(de|da|do|dos|das)$""))
)
) , 3))
&amp;
IF(H40=""CLT"",5,
IF(H40=""Estagiário"",5,
IF(H40=""Sócio Operacional"",5,
IF(H40=""Sócio Comerc"&amp;"ial"",6,""""))))
"),"KWM5")</f>
        <v>KWM5</v>
      </c>
      <c r="B40" s="1" t="s">
        <v>118</v>
      </c>
      <c r="C40" s="1" t="s">
        <v>119</v>
      </c>
      <c r="D40" s="1" t="s">
        <v>87</v>
      </c>
      <c r="E40" s="1" t="s">
        <v>120</v>
      </c>
      <c r="F40" t="s">
        <v>171</v>
      </c>
      <c r="G40" s="1" t="s">
        <v>8</v>
      </c>
      <c r="H40" t="s">
        <v>202</v>
      </c>
    </row>
    <row r="41" spans="1:8" x14ac:dyDescent="0.25">
      <c r="A41" s="1" t="str">
        <f ca="1">IFERROR(__xludf.DUMMYFUNCTION("UPPER(LEFT(
TEXTJOIN("""" , TRUE ,
FILTER(
ARRAYFORMULA(LEFT(SPLIT(B41,"" "") , 1)) ,
NOT(REGEXMATCH(SPLIT(B41,"" "") , ""^(de|da|do|dos|das)$""))
)
) , 3))
&amp;
IF(H41=""CLT"",5,
IF(H41=""Estagiário"",5,
IF(H41=""Sócio Operacional"",5,
IF(H41=""Sócio Comerc"&amp;"ial"",6,""""))))
"),"LNM5")</f>
        <v>LNM5</v>
      </c>
      <c r="B41" s="1" t="s">
        <v>121</v>
      </c>
      <c r="C41" s="1" t="s">
        <v>122</v>
      </c>
      <c r="D41" s="1" t="s">
        <v>19</v>
      </c>
      <c r="E41" s="1" t="s">
        <v>123</v>
      </c>
      <c r="F41" t="s">
        <v>174</v>
      </c>
      <c r="G41" s="1" t="s">
        <v>8</v>
      </c>
      <c r="H41" t="s">
        <v>202</v>
      </c>
    </row>
    <row r="42" spans="1:8" x14ac:dyDescent="0.25">
      <c r="A42" s="1" t="str">
        <f ca="1">IFERROR(__xludf.DUMMYFUNCTION("UPPER(LEFT(
TEXTJOIN("""" , TRUE ,
FILTER(
ARRAYFORMULA(LEFT(SPLIT(B42,"" "") , 1)) ,
NOT(REGEXMATCH(SPLIT(B42,"" "") , ""^(de|da|do|dos|das)$""))
)
) , 3))
&amp;
IF(H42=""CLT"",5,
IF(H42=""Estagiário"",5,
IF(H42=""Sócio Operacional"",5,
IF(H42=""Sócio Comerc"&amp;"ial"",6,""""))))
"),"LFD6")</f>
        <v>LFD6</v>
      </c>
      <c r="B42" s="1" t="s">
        <v>124</v>
      </c>
      <c r="C42" s="1" t="s">
        <v>125</v>
      </c>
      <c r="D42" s="1" t="s">
        <v>7</v>
      </c>
      <c r="E42" s="1" t="s">
        <v>6</v>
      </c>
      <c r="F42" t="s">
        <v>106</v>
      </c>
      <c r="G42" s="1" t="s">
        <v>8</v>
      </c>
      <c r="H42" t="s">
        <v>202</v>
      </c>
    </row>
    <row r="43" spans="1:8" x14ac:dyDescent="0.25">
      <c r="A43" s="1" t="str">
        <f ca="1">IFERROR(__xludf.DUMMYFUNCTION("UPPER(LEFT(
TEXTJOIN("""" , TRUE ,
FILTER(
ARRAYFORMULA(LEFT(SPLIT(B43,"" "") , 1)) ,
NOT(REGEXMATCH(SPLIT(B43,"" "") , ""^(de|da|do|dos|das)$""))
)
) , 3))
&amp;
IF(H43=""CLT"",5,
IF(H43=""Estagiário"",5,
IF(H43=""Sócio Operacional"",5,
IF(H43=""Sócio Comerc"&amp;"ial"",6,""""))))
"),"LGG5")</f>
        <v>LGG5</v>
      </c>
      <c r="B43" s="1" t="s">
        <v>126</v>
      </c>
      <c r="C43" s="1" t="s">
        <v>127</v>
      </c>
      <c r="D43" s="1" t="s">
        <v>87</v>
      </c>
      <c r="E43" s="1" t="s">
        <v>86</v>
      </c>
      <c r="F43" t="s">
        <v>118</v>
      </c>
      <c r="G43" s="1" t="s">
        <v>8</v>
      </c>
      <c r="H43" t="s">
        <v>203</v>
      </c>
    </row>
    <row r="44" spans="1:8" x14ac:dyDescent="0.25">
      <c r="A44" s="1" t="str">
        <f ca="1">IFERROR(__xludf.DUMMYFUNCTION("UPPER(LEFT(
TEXTJOIN("""" , TRUE ,
FILTER(
ARRAYFORMULA(LEFT(SPLIT(B44,"" "") , 1)) ,
NOT(REGEXMATCH(SPLIT(B44,"" "") , ""^(de|da|do|dos|das)$""))
)
) , 3))
&amp;
IF(H44=""CLT"",5,
IF(H44=""Estagiário"",5,
IF(H44=""Sócio Operacional"",5,
IF(H44=""Sócio Comerc"&amp;"ial"",6,""""))))
"),"LPL6")</f>
        <v>LPL6</v>
      </c>
      <c r="B44" s="1" t="s">
        <v>128</v>
      </c>
      <c r="C44" s="1" t="s">
        <v>129</v>
      </c>
      <c r="D44" s="1" t="s">
        <v>7</v>
      </c>
      <c r="E44" s="1" t="s">
        <v>6</v>
      </c>
      <c r="F44" t="s">
        <v>156</v>
      </c>
      <c r="G44" s="1" t="s">
        <v>8</v>
      </c>
      <c r="H44" t="s">
        <v>202</v>
      </c>
    </row>
    <row r="45" spans="1:8" x14ac:dyDescent="0.25">
      <c r="A45" s="1" t="str">
        <f ca="1">IFERROR(__xludf.DUMMYFUNCTION("UPPER(LEFT(
TEXTJOIN("""" , TRUE ,
FILTER(
ARRAYFORMULA(LEFT(SPLIT(B45,"" "") , 1)) ,
NOT(REGEXMATCH(SPLIT(B45,"" "") , ""^(de|da|do|dos|das)$""))
)
) , 3))
&amp;
IF(H45=""CLT"",5,
IF(H45=""Estagiário"",5,
IF(H45=""Sócio Operacional"",5,
IF(H45=""Sócio Comerc"&amp;"ial"",6,""""))))
"),"LPL5")</f>
        <v>LPL5</v>
      </c>
      <c r="B45" s="1" t="s">
        <v>130</v>
      </c>
      <c r="C45" s="1" t="s">
        <v>131</v>
      </c>
      <c r="D45" s="1" t="s">
        <v>87</v>
      </c>
      <c r="E45" s="1" t="s">
        <v>132</v>
      </c>
      <c r="F45" t="s">
        <v>103</v>
      </c>
      <c r="G45" s="1" t="s">
        <v>8</v>
      </c>
      <c r="H45" t="s">
        <v>202</v>
      </c>
    </row>
    <row r="46" spans="1:8" x14ac:dyDescent="0.25">
      <c r="A46" s="1" t="str">
        <f ca="1">IFERROR(__xludf.DUMMYFUNCTION("UPPER(LEFT(
TEXTJOIN("""" , TRUE ,
FILTER(
ARRAYFORMULA(LEFT(SPLIT(B46,"" "") , 1)) ,
NOT(REGEXMATCH(SPLIT(B46,"" "") , ""^(de|da|do|dos|das)$""))
)
) , 3))
&amp;
IF(H46=""CLT"",5,
IF(H46=""Estagiário"",5,
IF(H46=""Sócio Operacional"",5,
IF(H46=""Sócio Comerc"&amp;"ial"",6,""""))))
"),"LCC6")</f>
        <v>LCC6</v>
      </c>
      <c r="B46" s="1" t="s">
        <v>133</v>
      </c>
      <c r="C46" s="1" t="s">
        <v>134</v>
      </c>
      <c r="D46" s="1" t="s">
        <v>7</v>
      </c>
      <c r="E46" s="1" t="s">
        <v>6</v>
      </c>
      <c r="F46" t="s">
        <v>71</v>
      </c>
      <c r="G46" s="1" t="s">
        <v>8</v>
      </c>
      <c r="H46" t="s">
        <v>201</v>
      </c>
    </row>
    <row r="47" spans="1:8" x14ac:dyDescent="0.25">
      <c r="A47" s="1" t="str">
        <f ca="1">IFERROR(__xludf.DUMMYFUNCTION("UPPER(LEFT(
TEXTJOIN("""" , TRUE ,
FILTER(
ARRAYFORMULA(LEFT(SPLIT(B47,"" "") , 1)) ,
NOT(REGEXMATCH(SPLIT(B47,"" "") , ""^(de|da|do|dos|das)$""))
)
) , 3))
&amp;
IF(H47=""CLT"",5,
IF(H47=""Estagiário"",5,
IF(H47=""Sócio Operacional"",5,
IF(H47=""Sócio Comerc"&amp;"ial"",6,""""))))
"),"LFS5")</f>
        <v>LFS5</v>
      </c>
      <c r="B47" s="1" t="s">
        <v>135</v>
      </c>
      <c r="C47" s="1" t="s">
        <v>136</v>
      </c>
      <c r="D47" s="1" t="s">
        <v>87</v>
      </c>
      <c r="E47" s="1" t="s">
        <v>86</v>
      </c>
      <c r="F47" t="s">
        <v>171</v>
      </c>
      <c r="G47" s="1" t="s">
        <v>8</v>
      </c>
      <c r="H47" t="s">
        <v>202</v>
      </c>
    </row>
    <row r="48" spans="1:8" x14ac:dyDescent="0.25">
      <c r="A48" s="1" t="str">
        <f ca="1">IFERROR(__xludf.DUMMYFUNCTION("UPPER(LEFT(
TEXTJOIN("""" , TRUE ,
FILTER(
ARRAYFORMULA(LEFT(SPLIT(B48,"" "") , 1)) ,
NOT(REGEXMATCH(SPLIT(B48,"" "") , ""^(de|da|do|dos|das)$""))
)
) , 3))
&amp;
IF(H48=""CLT"",5,
IF(H48=""Estagiário"",5,
IF(H48=""Sócio Operacional"",5,
IF(H48=""Sócio Comerc"&amp;"ial"",6,""""))))
"),"MTJ6")</f>
        <v>MTJ6</v>
      </c>
      <c r="B48" s="1" t="s">
        <v>137</v>
      </c>
      <c r="C48" s="1" t="s">
        <v>138</v>
      </c>
      <c r="D48" s="1" t="s">
        <v>7</v>
      </c>
      <c r="E48" s="1" t="s">
        <v>6</v>
      </c>
      <c r="F48" t="s">
        <v>106</v>
      </c>
      <c r="G48" s="1" t="s">
        <v>8</v>
      </c>
      <c r="H48" t="s">
        <v>202</v>
      </c>
    </row>
    <row r="49" spans="1:8" x14ac:dyDescent="0.25">
      <c r="A49" s="1" t="str">
        <f ca="1">IFERROR(__xludf.DUMMYFUNCTION("UPPER(LEFT(
TEXTJOIN("""" , TRUE ,
FILTER(
ARRAYFORMULA(LEFT(SPLIT(B49,"" "") , 1)) ,
NOT(REGEXMATCH(SPLIT(B49,"" "") , ""^(de|da|do|dos|das)$""))
)
) , 3))
&amp;
IF(H49=""CLT"",5,
IF(H49=""Estagiário"",5,
IF(H49=""Sócio Operacional"",5,
IF(H49=""Sócio Comerc"&amp;"ial"",6,""""))))
"),"MCD5")</f>
        <v>MCD5</v>
      </c>
      <c r="B49" s="1" t="s">
        <v>139</v>
      </c>
      <c r="C49" s="1" t="s">
        <v>140</v>
      </c>
      <c r="D49" s="1" t="s">
        <v>19</v>
      </c>
      <c r="E49" s="1" t="s">
        <v>141</v>
      </c>
      <c r="F49" t="s">
        <v>174</v>
      </c>
      <c r="G49" s="1" t="s">
        <v>8</v>
      </c>
      <c r="H49" t="s">
        <v>202</v>
      </c>
    </row>
    <row r="50" spans="1:8" x14ac:dyDescent="0.25">
      <c r="A50" s="1" t="str">
        <f ca="1">IFERROR(__xludf.DUMMYFUNCTION("UPPER(LEFT(
TEXTJOIN("""" , TRUE ,
FILTER(
ARRAYFORMULA(LEFT(SPLIT(B50,"" "") , 1)) ,
NOT(REGEXMATCH(SPLIT(B50,"" "") , ""^(de|da|do|dos|das)$""))
)
) , 3))
&amp;
IF(H50=""CLT"",5,
IF(H50=""Estagiário"",5,
IF(H50=""Sócio Operacional"",5,
IF(H50=""Sócio Comerc"&amp;"ial"",6,""""))))
"),"MFB6")</f>
        <v>MFB6</v>
      </c>
      <c r="B50" s="1" t="s">
        <v>142</v>
      </c>
      <c r="C50" s="1" t="s">
        <v>143</v>
      </c>
      <c r="D50" s="1" t="s">
        <v>7</v>
      </c>
      <c r="E50" s="1" t="s">
        <v>6</v>
      </c>
      <c r="F50" t="s">
        <v>156</v>
      </c>
      <c r="G50" s="1" t="s">
        <v>8</v>
      </c>
      <c r="H50" t="s">
        <v>202</v>
      </c>
    </row>
    <row r="51" spans="1:8" x14ac:dyDescent="0.25">
      <c r="A51" s="1" t="str">
        <f ca="1">IFERROR(__xludf.DUMMYFUNCTION("UPPER(LEFT(
TEXTJOIN("""" , TRUE ,
FILTER(
ARRAYFORMULA(LEFT(SPLIT(B51,"" "") , 1)) ,
NOT(REGEXMATCH(SPLIT(B51,"" "") , ""^(de|da|do|dos|das)$""))
)
) , 3))
&amp;
IF(H51=""CLT"",5,
IF(H51=""Estagiário"",5,
IF(H51=""Sócio Operacional"",5,
IF(H51=""Sócio Comerc"&amp;"ial"",6,""""))))
"),"MEA5")</f>
        <v>MEA5</v>
      </c>
      <c r="B51" s="1" t="s">
        <v>144</v>
      </c>
      <c r="C51" s="1" t="s">
        <v>145</v>
      </c>
      <c r="D51" s="1" t="s">
        <v>147</v>
      </c>
      <c r="E51" s="1" t="s">
        <v>146</v>
      </c>
      <c r="F51" t="s">
        <v>25</v>
      </c>
      <c r="G51" s="1" t="s">
        <v>8</v>
      </c>
      <c r="H51" t="s">
        <v>202</v>
      </c>
    </row>
    <row r="52" spans="1:8" x14ac:dyDescent="0.25">
      <c r="A52" s="1" t="s">
        <v>199</v>
      </c>
      <c r="B52" s="1" t="s">
        <v>197</v>
      </c>
      <c r="C52" s="1" t="s">
        <v>198</v>
      </c>
      <c r="D52" s="1" t="s">
        <v>19</v>
      </c>
      <c r="E52" s="1" t="s">
        <v>35</v>
      </c>
      <c r="F52" s="1" t="s">
        <v>174</v>
      </c>
      <c r="G52" s="1"/>
      <c r="H52" t="s">
        <v>202</v>
      </c>
    </row>
    <row r="53" spans="1:8" x14ac:dyDescent="0.25">
      <c r="A53" s="1" t="str">
        <f ca="1">IFERROR(__xludf.DUMMYFUNCTION("UPPER(LEFT(
TEXTJOIN("""" , TRUE ,
FILTER(
ARRAYFORMULA(LEFT(SPLIT(B52,"" "") , 1)) ,
NOT(REGEXMATCH(SPLIT(B52,"" "") , ""^(de|da|do|dos|das)$""))
)
) , 3))
&amp;
IF(H52=""CLT"",5,
IF(H52=""Estagiário"",5,
IF(H52=""Sócio Operacional"",5,
IF(H52=""Sócio Comerc"&amp;"ial"",6,""""))))
"),"MSL6")</f>
        <v>MSL6</v>
      </c>
      <c r="B53" s="1" t="s">
        <v>148</v>
      </c>
      <c r="C53" s="1" t="s">
        <v>149</v>
      </c>
      <c r="D53" s="1" t="s">
        <v>7</v>
      </c>
      <c r="E53" s="1" t="s">
        <v>96</v>
      </c>
      <c r="F53" t="s">
        <v>36</v>
      </c>
      <c r="G53" s="1" t="s">
        <v>8</v>
      </c>
      <c r="H53" t="s">
        <v>202</v>
      </c>
    </row>
    <row r="54" spans="1:8" x14ac:dyDescent="0.25">
      <c r="A54" s="1" t="str">
        <f ca="1">IFERROR(__xludf.DUMMYFUNCTION("UPPER(LEFT(
TEXTJOIN("""" , TRUE ,
FILTER(
ARRAYFORMULA(LEFT(SPLIT(B53,"" "") , 1)) ,
NOT(REGEXMATCH(SPLIT(B53,"" "") , ""^(de|da|do|dos|das)$""))
)
) , 3))
&amp;
IF(H53=""CLT"",5,
IF(H53=""Estagiário"",5,
IF(H53=""Sócio Operacional"",5,
IF(H53=""Sócio Comerc"&amp;"ial"",6,""""))))
"),"MTT5")</f>
        <v>MTT5</v>
      </c>
      <c r="B54" s="1" t="s">
        <v>150</v>
      </c>
      <c r="C54" s="1" t="s">
        <v>151</v>
      </c>
      <c r="D54" s="1" t="s">
        <v>81</v>
      </c>
      <c r="E54" s="1" t="s">
        <v>80</v>
      </c>
      <c r="F54" t="s">
        <v>174</v>
      </c>
      <c r="G54" s="1" t="s">
        <v>8</v>
      </c>
      <c r="H54" t="s">
        <v>202</v>
      </c>
    </row>
    <row r="55" spans="1:8" x14ac:dyDescent="0.25">
      <c r="A55" s="1" t="str">
        <f ca="1">IFERROR(__xludf.DUMMYFUNCTION("UPPER(LEFT(
TEXTJOIN("""" , TRUE ,
FILTER(
ARRAYFORMULA(LEFT(SPLIT(B54,"" "") , 1)) ,
NOT(REGEXMATCH(SPLIT(B54,"" "") , ""^(de|da|do|dos|das)$""))
)
) , 3))
&amp;
IF(H54=""CLT"",5,
IF(H54=""Estagiário"",5,
IF(H54=""Sócio Operacional"",5,
IF(H54=""Sócio Comerc"&amp;"ial"",6,""""))))
"),"PCN5")</f>
        <v>PCN5</v>
      </c>
      <c r="B55" s="1" t="s">
        <v>152</v>
      </c>
      <c r="C55" s="1" t="s">
        <v>153</v>
      </c>
      <c r="D55" s="1" t="s">
        <v>155</v>
      </c>
      <c r="E55" s="1" t="s">
        <v>154</v>
      </c>
      <c r="F55" t="s">
        <v>25</v>
      </c>
      <c r="G55" s="1" t="s">
        <v>8</v>
      </c>
      <c r="H55" t="s">
        <v>202</v>
      </c>
    </row>
    <row r="56" spans="1:8" x14ac:dyDescent="0.25">
      <c r="A56" s="1" t="str">
        <f ca="1">IFERROR(__xludf.DUMMYFUNCTION("UPPER(LEFT(
TEXTJOIN("""" , TRUE ,
FILTER(
ARRAYFORMULA(LEFT(SPLIT(B55,"" "") , 1)) ,
NOT(REGEXMATCH(SPLIT(B55,"" "") , ""^(de|da|do|dos|das)$""))
)
) , 3))
&amp;
IF(H55=""CLT"",5,
IF(H55=""Estagiário"",5,
IF(H55=""Sócio Operacional"",5,
IF(H55=""Sócio Comerc"&amp;"ial"",6,""""))))
"),"PVF6")</f>
        <v>PVF6</v>
      </c>
      <c r="B56" s="1" t="s">
        <v>156</v>
      </c>
      <c r="C56" s="1" t="s">
        <v>157</v>
      </c>
      <c r="D56" s="1" t="s">
        <v>7</v>
      </c>
      <c r="E56" s="1" t="s">
        <v>158</v>
      </c>
      <c r="F56" t="s">
        <v>88</v>
      </c>
      <c r="G56" s="1" t="s">
        <v>8</v>
      </c>
      <c r="H56" t="s">
        <v>202</v>
      </c>
    </row>
    <row r="57" spans="1:8" x14ac:dyDescent="0.25">
      <c r="A57" s="1" t="str">
        <f ca="1">IFERROR(__xludf.DUMMYFUNCTION("UPPER(LEFT(
TEXTJOIN("""" , TRUE ,
FILTER(
ARRAYFORMULA(LEFT(SPLIT(B56,"" "") , 1)) ,
NOT(REGEXMATCH(SPLIT(B56,"" "") , ""^(de|da|do|dos|das)$""))
)
) , 3))
&amp;
IF(H56=""CLT"",5,
IF(H56=""Estagiário"",5,
IF(H56=""Sócio Operacional"",5,
IF(H56=""Sócio Comerc"&amp;"ial"",6,""""))))
"),"PBR6")</f>
        <v>PBR6</v>
      </c>
      <c r="B57" s="1" t="s">
        <v>159</v>
      </c>
      <c r="C57" s="1" t="s">
        <v>160</v>
      </c>
      <c r="D57" s="1" t="s">
        <v>7</v>
      </c>
      <c r="E57" s="1" t="s">
        <v>6</v>
      </c>
      <c r="F57" t="s">
        <v>156</v>
      </c>
      <c r="G57" s="1" t="s">
        <v>8</v>
      </c>
      <c r="H57" t="s">
        <v>202</v>
      </c>
    </row>
    <row r="58" spans="1:8" x14ac:dyDescent="0.25">
      <c r="A58" s="1" t="str">
        <f ca="1">IFERROR(__xludf.DUMMYFUNCTION("UPPER(LEFT(
TEXTJOIN("""" , TRUE ,
FILTER(
ARRAYFORMULA(LEFT(SPLIT(B57,"" "") , 1)) ,
NOT(REGEXMATCH(SPLIT(B57,"" "") , ""^(de|da|do|dos|das)$""))
)
) , 3))
&amp;
IF(H57=""CLT"",5,
IF(H57=""Estagiário"",5,
IF(H57=""Sócio Operacional"",5,
IF(H57=""Sócio Comerc"&amp;"ial"",6,""""))))
"),"PHC5")</f>
        <v>PHC5</v>
      </c>
      <c r="B58" s="1" t="s">
        <v>161</v>
      </c>
      <c r="C58" s="1" t="s">
        <v>162</v>
      </c>
      <c r="D58" s="1" t="s">
        <v>87</v>
      </c>
      <c r="E58" s="1" t="s">
        <v>86</v>
      </c>
      <c r="F58" t="s">
        <v>171</v>
      </c>
      <c r="G58" s="1" t="s">
        <v>8</v>
      </c>
      <c r="H58" t="s">
        <v>204</v>
      </c>
    </row>
    <row r="59" spans="1:8" x14ac:dyDescent="0.25">
      <c r="A59" s="1" t="str">
        <f ca="1">IFERROR(__xludf.DUMMYFUNCTION("UPPER(LEFT(
TEXTJOIN("""" , TRUE ,
FILTER(
ARRAYFORMULA(LEFT(SPLIT(B58,"" "") , 1)) ,
NOT(REGEXMATCH(SPLIT(B58,"" "") , ""^(de|da|do|dos|das)$""))
)
) , 3))
&amp;
IF(H58=""CLT"",5,
IF(H58=""Estagiário"",5,
IF(H58=""Sócio Operacional"",5,
IF(H58=""Sócio Comerc"&amp;"ial"",6,""""))))
"),"RFC5")</f>
        <v>RFC5</v>
      </c>
      <c r="B59" s="1" t="s">
        <v>163</v>
      </c>
      <c r="C59" s="1" t="s">
        <v>164</v>
      </c>
      <c r="D59" s="1" t="s">
        <v>87</v>
      </c>
      <c r="E59" s="1" t="s">
        <v>165</v>
      </c>
      <c r="F59" t="s">
        <v>171</v>
      </c>
      <c r="G59" s="1" t="s">
        <v>8</v>
      </c>
      <c r="H59" t="s">
        <v>201</v>
      </c>
    </row>
    <row r="60" spans="1:8" x14ac:dyDescent="0.25">
      <c r="A60" s="1" t="str">
        <f ca="1">IFERROR(__xludf.DUMMYFUNCTION("UPPER(LEFT(
TEXTJOIN("""" , TRUE ,
FILTER(
ARRAYFORMULA(LEFT(SPLIT(B59,"" "") , 1)) ,
NOT(REGEXMATCH(SPLIT(B59,"" "") , ""^(de|da|do|dos|das)$""))
)
) , 3))
&amp;
IF(H59=""CLT"",5,
IF(H59=""Estagiário"",5,
IF(H59=""Sócio Operacional"",5,
IF(H59=""Sócio Comerc"&amp;"ial"",6,""""))))
"),"RGS6")</f>
        <v>RGS6</v>
      </c>
      <c r="B60" s="1" t="s">
        <v>166</v>
      </c>
      <c r="C60" s="1" t="s">
        <v>167</v>
      </c>
      <c r="D60" s="1" t="s">
        <v>7</v>
      </c>
      <c r="E60" s="1" t="s">
        <v>6</v>
      </c>
      <c r="F60" t="s">
        <v>52</v>
      </c>
      <c r="G60" s="1" t="s">
        <v>8</v>
      </c>
      <c r="H60" t="s">
        <v>202</v>
      </c>
    </row>
    <row r="61" spans="1:8" x14ac:dyDescent="0.25">
      <c r="A61" s="1" t="str">
        <f ca="1">IFERROR(__xludf.DUMMYFUNCTION("UPPER(LEFT(
TEXTJOIN("""" , TRUE ,
FILTER(
ARRAYFORMULA(LEFT(SPLIT(B60,"" "") , 1)) ,
NOT(REGEXMATCH(SPLIT(B60,"" "") , ""^(de|da|do|dos|das)$""))
)
) , 3))
&amp;
IF(H60=""CLT"",5,
IF(H60=""Estagiário"",5,
IF(H60=""Sócio Operacional"",5,
IF(H60=""Sócio Comerc"&amp;"ial"",6,""""))))
"),"RLM5")</f>
        <v>RLM5</v>
      </c>
      <c r="B61" s="1" t="s">
        <v>168</v>
      </c>
      <c r="C61" s="1" t="s">
        <v>169</v>
      </c>
      <c r="D61" s="1" t="s">
        <v>19</v>
      </c>
      <c r="E61" s="1" t="s">
        <v>170</v>
      </c>
      <c r="F61" t="s">
        <v>174</v>
      </c>
      <c r="G61" s="1" t="s">
        <v>8</v>
      </c>
      <c r="H61" t="s">
        <v>202</v>
      </c>
    </row>
    <row r="62" spans="1:8" x14ac:dyDescent="0.25">
      <c r="A62" s="1" t="str">
        <f ca="1">IFERROR(__xludf.DUMMYFUNCTION("UPPER(LEFT(
TEXTJOIN("""" , TRUE ,
FILTER(
ARRAYFORMULA(LEFT(SPLIT(B61,"" "") , 1)) ,
NOT(REGEXMATCH(SPLIT(B61,"" "") , ""^(de|da|do|dos|das)$""))
)
) , 3))
&amp;
IF(H61=""CLT"",5,
IF(H61=""Estagiário"",5,
IF(H61=""Sócio Operacional"",5,
IF(H61=""Sócio Comerc"&amp;"ial"",6,""""))))
"),"RGD5")</f>
        <v>RGD5</v>
      </c>
      <c r="B62" s="1" t="s">
        <v>171</v>
      </c>
      <c r="C62" s="1" t="s">
        <v>172</v>
      </c>
      <c r="D62" s="1" t="s">
        <v>87</v>
      </c>
      <c r="E62" s="1" t="s">
        <v>173</v>
      </c>
      <c r="F62" t="s">
        <v>52</v>
      </c>
      <c r="G62" s="1" t="s">
        <v>29</v>
      </c>
      <c r="H62" t="s">
        <v>202</v>
      </c>
    </row>
    <row r="63" spans="1:8" x14ac:dyDescent="0.25">
      <c r="A63" s="1" t="str">
        <f ca="1">IFERROR(__xludf.DUMMYFUNCTION("UPPER(LEFT(
TEXTJOIN("""" , TRUE ,
FILTER(
ARRAYFORMULA(LEFT(SPLIT(B62,"" "") , 1)) ,
NOT(REGEXMATCH(SPLIT(B62,"" "") , ""^(de|da|do|dos|das)$""))
)
) , 3))
&amp;
IF(H62=""CLT"",5,
IF(H62=""Estagiário"",5,
IF(H62=""Sócio Operacional"",5,
IF(H62=""Sócio Comerc"&amp;"ial"",6,""""))))
"),"TMD5")</f>
        <v>TMD5</v>
      </c>
      <c r="B63" s="1" t="s">
        <v>174</v>
      </c>
      <c r="C63" s="1" t="s">
        <v>175</v>
      </c>
      <c r="D63" s="1" t="s">
        <v>19</v>
      </c>
      <c r="E63" s="1" t="s">
        <v>176</v>
      </c>
      <c r="F63" t="s">
        <v>88</v>
      </c>
      <c r="G63" s="1" t="s">
        <v>29</v>
      </c>
      <c r="H63" t="s">
        <v>202</v>
      </c>
    </row>
    <row r="64" spans="1:8" x14ac:dyDescent="0.25">
      <c r="A64" s="1" t="str">
        <f ca="1">IFERROR(__xludf.DUMMYFUNCTION("UPPER(LEFT(
TEXTJOIN("""" , TRUE ,
FILTER(
ARRAYFORMULA(LEFT(SPLIT(B63,"" "") , 1)) ,
NOT(REGEXMATCH(SPLIT(B63,"" "") , ""^(de|da|do|dos|das)$""))
)
) , 3))
&amp;
IF(H63=""CLT"",5,
IF(H63=""Estagiário"",5,
IF(H63=""Sócio Operacional"",5,
IF(H63=""Sócio Comerc"&amp;"ial"",6,""""))))
"),"TBS6")</f>
        <v>TBS6</v>
      </c>
      <c r="B64" s="1" t="s">
        <v>177</v>
      </c>
      <c r="C64" s="1" t="s">
        <v>178</v>
      </c>
      <c r="D64" s="1" t="s">
        <v>7</v>
      </c>
      <c r="E64" s="1" t="s">
        <v>6</v>
      </c>
      <c r="F64" t="s">
        <v>71</v>
      </c>
      <c r="G64" s="1" t="s">
        <v>8</v>
      </c>
      <c r="H64" t="s">
        <v>201</v>
      </c>
    </row>
    <row r="65" spans="1:8" x14ac:dyDescent="0.25">
      <c r="A65" s="1" t="str">
        <f ca="1">IFERROR(__xludf.DUMMYFUNCTION("UPPER(LEFT(
TEXTJOIN("""" , TRUE ,
FILTER(
ARRAYFORMULA(LEFT(SPLIT(B64,"" "") , 1)) ,
NOT(REGEXMATCH(SPLIT(B64,"" "") , ""^(de|da|do|dos|das)$""))
)
) , 3))
&amp;
IF(H64=""CLT"",5,
IF(H64=""Estagiário"",5,
IF(H64=""Sócio Operacional"",5,
IF(H64=""Sócio Comerc"&amp;"ial"",6,""""))))
"),"TAF6")</f>
        <v>TAF6</v>
      </c>
      <c r="B65" s="1" t="s">
        <v>179</v>
      </c>
      <c r="C65" s="1" t="s">
        <v>180</v>
      </c>
      <c r="D65" s="1" t="s">
        <v>7</v>
      </c>
      <c r="E65" s="1" t="s">
        <v>181</v>
      </c>
      <c r="F65" t="s">
        <v>52</v>
      </c>
      <c r="G65" s="1" t="s">
        <v>8</v>
      </c>
      <c r="H65" t="s">
        <v>202</v>
      </c>
    </row>
    <row r="66" spans="1:8" x14ac:dyDescent="0.25">
      <c r="A66" s="1" t="str">
        <f ca="1">IFERROR(__xludf.DUMMYFUNCTION("UPPER(LEFT(
TEXTJOIN("""" , TRUE ,
FILTER(
ARRAYFORMULA(LEFT(SPLIT(B65,"" "") , 1)) ,
NOT(REGEXMATCH(SPLIT(B65,"" "") , ""^(de|da|do|dos|das)$""))
)
) , 3))
&amp;
IF(H65=""CLT"",5,
IF(H65=""Estagiário"",5,
IF(H65=""Sócio Operacional"",5,
IF(H65=""Sócio Comerc"&amp;"ial"",6,""""))))
"),"TGT5")</f>
        <v>TGT5</v>
      </c>
      <c r="B66" s="1" t="s">
        <v>182</v>
      </c>
      <c r="C66" s="1" t="s">
        <v>183</v>
      </c>
      <c r="D66" s="1" t="s">
        <v>87</v>
      </c>
      <c r="E66" s="1" t="s">
        <v>165</v>
      </c>
      <c r="F66" t="s">
        <v>171</v>
      </c>
      <c r="G66" s="1" t="s">
        <v>8</v>
      </c>
      <c r="H66" t="s">
        <v>202</v>
      </c>
    </row>
    <row r="67" spans="1:8" x14ac:dyDescent="0.25">
      <c r="A67" s="1" t="str">
        <f ca="1">IFERROR(__xludf.DUMMYFUNCTION("UPPER(LEFT(
TEXTJOIN("""" , TRUE ,
FILTER(
ARRAYFORMULA(LEFT(SPLIT(B66,"" "") , 1)) ,
NOT(REGEXMATCH(SPLIT(B66,"" "") , ""^(de|da|do|dos|das)$""))
)
) , 3))
&amp;
IF(H66=""CLT"",5,
IF(H66=""Estagiário"",5,
IF(H66=""Sócio Operacional"",5,
IF(H66=""Sócio Comerc"&amp;"ial"",6,""""))))
"),"VAR5")</f>
        <v>VAR5</v>
      </c>
      <c r="B67" s="1" t="s">
        <v>184</v>
      </c>
      <c r="C67" s="1" t="s">
        <v>185</v>
      </c>
      <c r="D67" s="1" t="s">
        <v>15</v>
      </c>
      <c r="E67" s="1" t="s">
        <v>14</v>
      </c>
      <c r="F67" t="s">
        <v>195</v>
      </c>
      <c r="G67" s="1" t="s">
        <v>8</v>
      </c>
      <c r="H67" t="s">
        <v>202</v>
      </c>
    </row>
    <row r="68" spans="1:8" x14ac:dyDescent="0.25">
      <c r="A68" s="1" t="str">
        <f ca="1">IFERROR(__xludf.DUMMYFUNCTION("UPPER(LEFT(
TEXTJOIN("""" , TRUE ,
FILTER(
ARRAYFORMULA(LEFT(SPLIT(B67,"" "") , 1)) ,
NOT(REGEXMATCH(SPLIT(B67,"" "") , ""^(de|da|do|dos|das)$""))
)
) , 3))
&amp;
IF(H67=""CLT"",5,
IF(H67=""Estagiário"",5,
IF(H67=""Sócio Operacional"",5,
IF(H67=""Sócio Comerc"&amp;"ial"",6,""""))))
"),"VCS5")</f>
        <v>VCS5</v>
      </c>
      <c r="B68" s="1" t="s">
        <v>186</v>
      </c>
      <c r="C68" s="1" t="s">
        <v>187</v>
      </c>
      <c r="D68" s="1" t="s">
        <v>19</v>
      </c>
      <c r="E68" s="1" t="s">
        <v>188</v>
      </c>
      <c r="F68" t="s">
        <v>174</v>
      </c>
      <c r="G68" s="1" t="s">
        <v>8</v>
      </c>
      <c r="H68" t="s">
        <v>202</v>
      </c>
    </row>
    <row r="69" spans="1:8" x14ac:dyDescent="0.25">
      <c r="A69" s="1" t="str">
        <f ca="1">IFERROR(__xludf.DUMMYFUNCTION("UPPER(LEFT(
TEXTJOIN("""" , TRUE ,
FILTER(
ARRAYFORMULA(LEFT(SPLIT(B68,"" "") , 1)) ,
NOT(REGEXMATCH(SPLIT(B68,"" "") , ""^(de|da|do|dos|das)$""))
)
) , 3))
&amp;
IF(H68=""CLT"",5,
IF(H68=""Estagiário"",5,
IF(H68=""Sócio Operacional"",5,
IF(H68=""Sócio Comerc"&amp;"ial"",6,""""))))
"),"VSN6")</f>
        <v>VSN6</v>
      </c>
      <c r="B69" s="1" t="s">
        <v>189</v>
      </c>
      <c r="C69" s="1" t="s">
        <v>190</v>
      </c>
      <c r="D69" s="1" t="s">
        <v>7</v>
      </c>
      <c r="E69" s="1" t="s">
        <v>96</v>
      </c>
      <c r="F69" t="s">
        <v>137</v>
      </c>
      <c r="G69" s="1" t="s">
        <v>8</v>
      </c>
      <c r="H69" t="s">
        <v>202</v>
      </c>
    </row>
    <row r="70" spans="1:8" x14ac:dyDescent="0.25">
      <c r="A70" s="1" t="str">
        <f ca="1">IFERROR(__xludf.DUMMYFUNCTION("UPPER(LEFT(
TEXTJOIN("""" , TRUE ,
FILTER(
ARRAYFORMULA(LEFT(SPLIT(B69,"" "") , 1)) ,
NOT(REGEXMATCH(SPLIT(B69,"" "") , ""^(de|da|do|dos|das)$""))
)
) , 3))
&amp;
IF(H69=""CLT"",5,
IF(H69=""Estagiário"",5,
IF(H69=""Sócio Operacional"",5,
IF(H69=""Sócio Comerc"&amp;"ial"",6,""""))))
"),"WDC5")</f>
        <v>WDC5</v>
      </c>
      <c r="B70" s="2" t="s">
        <v>191</v>
      </c>
      <c r="C70" s="2" t="s">
        <v>192</v>
      </c>
      <c r="D70" s="1" t="s">
        <v>81</v>
      </c>
      <c r="E70" s="1" t="s">
        <v>193</v>
      </c>
      <c r="F70" t="s">
        <v>174</v>
      </c>
      <c r="G70" s="1" t="s">
        <v>8</v>
      </c>
      <c r="H70" t="s">
        <v>202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Daldegan</cp:lastModifiedBy>
  <dcterms:modified xsi:type="dcterms:W3CDTF">2026-03-27T18:05:13Z</dcterms:modified>
</cp:coreProperties>
</file>